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0" windowWidth="15315" windowHeight="9270"/>
  </bookViews>
  <sheets>
    <sheet name="30-04-19" sheetId="21" r:id="rId1"/>
    <sheet name="29-04-19" sheetId="20" r:id="rId2"/>
    <sheet name="28-04-19" sheetId="19" r:id="rId3"/>
    <sheet name="27-04-19" sheetId="18" r:id="rId4"/>
    <sheet name="25-04-19   " sheetId="17" r:id="rId5"/>
    <sheet name="24-04-19  " sheetId="16" r:id="rId6"/>
    <sheet name="23-04-19 " sheetId="15" r:id="rId7"/>
    <sheet name="18-04-19" sheetId="14" r:id="rId8"/>
    <sheet name="17-04-19" sheetId="13" r:id="rId9"/>
    <sheet name="16-04-19" sheetId="12" r:id="rId10"/>
    <sheet name="15-04-19" sheetId="11" r:id="rId11"/>
    <sheet name="13-04-19" sheetId="10" r:id="rId12"/>
    <sheet name="11-04-19" sheetId="9" r:id="rId13"/>
    <sheet name="10-04-19" sheetId="8" r:id="rId14"/>
    <sheet name="09-04-19" sheetId="7" r:id="rId15"/>
    <sheet name="08-04-19" sheetId="6" r:id="rId16"/>
    <sheet name="07-04-19" sheetId="5" r:id="rId17"/>
    <sheet name="06-04-19" sheetId="4" r:id="rId18"/>
    <sheet name="03-04-19" sheetId="3" r:id="rId19"/>
    <sheet name="02-04-19" sheetId="2" r:id="rId20"/>
    <sheet name="01-04-19" sheetId="1" r:id="rId21"/>
  </sheets>
  <definedNames>
    <definedName name="_xlnm.Print_Area" localSheetId="0">'30-04-19'!$A$1:$F$30</definedName>
  </definedNames>
  <calcPr calcId="124519"/>
</workbook>
</file>

<file path=xl/calcChain.xml><?xml version="1.0" encoding="utf-8"?>
<calcChain xmlns="http://schemas.openxmlformats.org/spreadsheetml/2006/main">
  <c r="C23" i="21"/>
  <c r="F23"/>
  <c r="C14" i="20"/>
  <c r="C9"/>
  <c r="C12"/>
  <c r="C13"/>
  <c r="E25" i="21" l="1"/>
  <c r="C43" i="20"/>
  <c r="E42"/>
  <c r="E41"/>
  <c r="E40"/>
  <c r="E39"/>
  <c r="E38"/>
  <c r="E37"/>
  <c r="E36"/>
  <c r="E35"/>
  <c r="E34"/>
  <c r="C23"/>
  <c r="F33"/>
  <c r="F23"/>
  <c r="F34" s="1"/>
  <c r="C14" i="19"/>
  <c r="F8"/>
  <c r="C9"/>
  <c r="F23"/>
  <c r="F34" s="1"/>
  <c r="C13"/>
  <c r="C43"/>
  <c r="E42"/>
  <c r="E41"/>
  <c r="E40"/>
  <c r="E39"/>
  <c r="E38"/>
  <c r="E37"/>
  <c r="E36"/>
  <c r="E35"/>
  <c r="E34"/>
  <c r="F33" i="18"/>
  <c r="C9"/>
  <c r="C10"/>
  <c r="C13"/>
  <c r="C23"/>
  <c r="C14"/>
  <c r="C43"/>
  <c r="E42"/>
  <c r="E41"/>
  <c r="E40"/>
  <c r="E39"/>
  <c r="E38"/>
  <c r="E37"/>
  <c r="E36"/>
  <c r="E35"/>
  <c r="E34"/>
  <c r="F23"/>
  <c r="C43" i="17"/>
  <c r="E42"/>
  <c r="E41"/>
  <c r="E40"/>
  <c r="E39"/>
  <c r="E38"/>
  <c r="E37"/>
  <c r="E36"/>
  <c r="E35"/>
  <c r="E34"/>
  <c r="F23"/>
  <c r="C23"/>
  <c r="E35" i="16"/>
  <c r="E36"/>
  <c r="E37"/>
  <c r="E38"/>
  <c r="E39"/>
  <c r="E40"/>
  <c r="E41"/>
  <c r="E34"/>
  <c r="C43"/>
  <c r="E42"/>
  <c r="F23"/>
  <c r="C23"/>
  <c r="E35" i="15"/>
  <c r="E36"/>
  <c r="E37"/>
  <c r="E38"/>
  <c r="E39"/>
  <c r="E40"/>
  <c r="E41"/>
  <c r="E34"/>
  <c r="C23"/>
  <c r="C43"/>
  <c r="E42"/>
  <c r="E43" s="1"/>
  <c r="F23"/>
  <c r="F33" i="14"/>
  <c r="C9"/>
  <c r="C14"/>
  <c r="C13"/>
  <c r="C10"/>
  <c r="C43"/>
  <c r="E42"/>
  <c r="E41"/>
  <c r="E40"/>
  <c r="E39"/>
  <c r="E38"/>
  <c r="E37"/>
  <c r="E36"/>
  <c r="E35"/>
  <c r="E34"/>
  <c r="F23"/>
  <c r="F33" i="13"/>
  <c r="C10"/>
  <c r="C9"/>
  <c r="C13"/>
  <c r="E43" i="16" l="1"/>
  <c r="E43" i="20"/>
  <c r="F35"/>
  <c r="E25"/>
  <c r="F33" i="19"/>
  <c r="F35" s="1"/>
  <c r="C23"/>
  <c r="E43"/>
  <c r="E25"/>
  <c r="E43" i="18"/>
  <c r="E25"/>
  <c r="E43" i="17"/>
  <c r="E25"/>
  <c r="E25" i="16"/>
  <c r="E25" i="15"/>
  <c r="E43" i="14"/>
  <c r="C23"/>
  <c r="E25" s="1"/>
  <c r="F8" i="13"/>
  <c r="F23" s="1"/>
  <c r="C14"/>
  <c r="C43"/>
  <c r="E42"/>
  <c r="E41"/>
  <c r="E40"/>
  <c r="E39"/>
  <c r="E38"/>
  <c r="E37"/>
  <c r="E36"/>
  <c r="E35"/>
  <c r="E34"/>
  <c r="F33" i="12"/>
  <c r="C21"/>
  <c r="C9"/>
  <c r="C23" s="1"/>
  <c r="C10"/>
  <c r="C14"/>
  <c r="C43"/>
  <c r="E42"/>
  <c r="E41"/>
  <c r="E40"/>
  <c r="E39"/>
  <c r="E38"/>
  <c r="E37"/>
  <c r="E36"/>
  <c r="E35"/>
  <c r="E34"/>
  <c r="F23"/>
  <c r="F30" i="11"/>
  <c r="C9"/>
  <c r="C13"/>
  <c r="C40"/>
  <c r="C12"/>
  <c r="C14"/>
  <c r="C10"/>
  <c r="E39"/>
  <c r="E38"/>
  <c r="E37"/>
  <c r="E36"/>
  <c r="E35"/>
  <c r="E34"/>
  <c r="E33"/>
  <c r="E32"/>
  <c r="E31"/>
  <c r="F20"/>
  <c r="E43" i="13" l="1"/>
  <c r="C23"/>
  <c r="E25" s="1"/>
  <c r="E43" i="12"/>
  <c r="E25"/>
  <c r="C20" i="11"/>
  <c r="E22" s="1"/>
  <c r="E40"/>
  <c r="C9" i="10"/>
  <c r="C13"/>
  <c r="C10" l="1"/>
  <c r="C12" l="1"/>
  <c r="C20" l="1"/>
  <c r="C40"/>
  <c r="E39"/>
  <c r="E38"/>
  <c r="E37"/>
  <c r="E36"/>
  <c r="E35"/>
  <c r="E34"/>
  <c r="E33"/>
  <c r="E32"/>
  <c r="E31"/>
  <c r="F20"/>
  <c r="C9" i="9"/>
  <c r="C14"/>
  <c r="C12"/>
  <c r="C13"/>
  <c r="C20"/>
  <c r="C40"/>
  <c r="E39"/>
  <c r="E38"/>
  <c r="E37"/>
  <c r="E36"/>
  <c r="E35"/>
  <c r="E34"/>
  <c r="E33"/>
  <c r="E32"/>
  <c r="E31"/>
  <c r="F20"/>
  <c r="F30" i="8"/>
  <c r="F9"/>
  <c r="C13"/>
  <c r="C9"/>
  <c r="C12"/>
  <c r="E40" i="10" l="1"/>
  <c r="E22"/>
  <c r="E40" i="9"/>
  <c r="E22"/>
  <c r="E34" i="8"/>
  <c r="C15"/>
  <c r="C40"/>
  <c r="E39"/>
  <c r="E38"/>
  <c r="E37"/>
  <c r="E36"/>
  <c r="E35"/>
  <c r="E33"/>
  <c r="E32"/>
  <c r="E31"/>
  <c r="F20"/>
  <c r="F30" i="7"/>
  <c r="C9"/>
  <c r="C13"/>
  <c r="C20" i="8" l="1"/>
  <c r="E40"/>
  <c r="E22"/>
  <c r="C40" i="7"/>
  <c r="E39"/>
  <c r="E38"/>
  <c r="E37"/>
  <c r="E36"/>
  <c r="E35"/>
  <c r="E34"/>
  <c r="E33"/>
  <c r="E32"/>
  <c r="E31"/>
  <c r="F20"/>
  <c r="C9" i="6"/>
  <c r="C14"/>
  <c r="C10"/>
  <c r="C13"/>
  <c r="C20" i="7" l="1"/>
  <c r="E22" s="1"/>
  <c r="E40"/>
  <c r="C20" i="6"/>
  <c r="C12"/>
  <c r="C40"/>
  <c r="E39"/>
  <c r="E38"/>
  <c r="E37"/>
  <c r="E36"/>
  <c r="E35"/>
  <c r="E34"/>
  <c r="E33"/>
  <c r="E32"/>
  <c r="E31"/>
  <c r="F20"/>
  <c r="F30" i="5"/>
  <c r="C13"/>
  <c r="E40" i="6" l="1"/>
  <c r="E22"/>
  <c r="C9" i="5"/>
  <c r="E38"/>
  <c r="C12"/>
  <c r="C14"/>
  <c r="C8"/>
  <c r="C40"/>
  <c r="E39"/>
  <c r="E37"/>
  <c r="E36"/>
  <c r="E35"/>
  <c r="E34"/>
  <c r="E33"/>
  <c r="E32"/>
  <c r="E31"/>
  <c r="F20"/>
  <c r="C20"/>
  <c r="F30" i="4"/>
  <c r="C12"/>
  <c r="C9"/>
  <c r="C15"/>
  <c r="C13"/>
  <c r="C10"/>
  <c r="C14"/>
  <c r="C8"/>
  <c r="C20" s="1"/>
  <c r="C39"/>
  <c r="E38"/>
  <c r="E37"/>
  <c r="E36"/>
  <c r="E35"/>
  <c r="E34"/>
  <c r="E33"/>
  <c r="E32"/>
  <c r="E31"/>
  <c r="F20"/>
  <c r="F30" i="3"/>
  <c r="C9"/>
  <c r="C13"/>
  <c r="C20"/>
  <c r="C12"/>
  <c r="C39"/>
  <c r="E38"/>
  <c r="E37"/>
  <c r="E36"/>
  <c r="E35"/>
  <c r="E34"/>
  <c r="E33"/>
  <c r="E32"/>
  <c r="E31"/>
  <c r="F20"/>
  <c r="F30" i="2"/>
  <c r="C9"/>
  <c r="C13"/>
  <c r="C12"/>
  <c r="E40" i="5" l="1"/>
  <c r="F40" s="1"/>
  <c r="E22"/>
  <c r="E39" i="4"/>
  <c r="E22"/>
  <c r="E39" i="3"/>
  <c r="E22"/>
  <c r="C10" i="2"/>
  <c r="C20" l="1"/>
  <c r="C39"/>
  <c r="E38"/>
  <c r="E37"/>
  <c r="E36"/>
  <c r="E35"/>
  <c r="E34"/>
  <c r="E33"/>
  <c r="E32"/>
  <c r="E31"/>
  <c r="F20"/>
  <c r="F30" i="1"/>
  <c r="C10"/>
  <c r="C9"/>
  <c r="C12"/>
  <c r="E39" i="2" l="1"/>
  <c r="E22"/>
  <c r="C39" i="1"/>
  <c r="E38"/>
  <c r="E37"/>
  <c r="E36"/>
  <c r="E35"/>
  <c r="E34"/>
  <c r="E33"/>
  <c r="E32"/>
  <c r="E31"/>
  <c r="F20"/>
  <c r="E39" l="1"/>
  <c r="C20" l="1"/>
  <c r="E22" s="1"/>
</calcChain>
</file>

<file path=xl/comments1.xml><?xml version="1.0" encoding="utf-8"?>
<comments xmlns="http://schemas.openxmlformats.org/spreadsheetml/2006/main">
  <authors>
    <author>user</author>
  </authors>
  <commentList>
    <comment ref="F15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150+150+100+100+100=600</t>
        </r>
      </text>
    </comment>
    <comment ref="F16" author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750+90=840</t>
        </r>
      </text>
    </comment>
  </commentList>
</comments>
</file>

<file path=xl/sharedStrings.xml><?xml version="1.0" encoding="utf-8"?>
<sst xmlns="http://schemas.openxmlformats.org/spreadsheetml/2006/main" count="819" uniqueCount="154">
  <si>
    <t>LEARNING BIRDS SCHOOL &amp; COLLEGE</t>
  </si>
  <si>
    <t>Kusum Tower, Katgor, North Patenga (4204), Patenga, Chattogram</t>
  </si>
  <si>
    <t>Phone: 01971-888778, 01670-413023, E-mail: learningbidsc@gmail.com</t>
  </si>
  <si>
    <t>Daily Receive &amp; Payment Statement</t>
  </si>
  <si>
    <t>SL</t>
  </si>
  <si>
    <t xml:space="preserve">Receive </t>
  </si>
  <si>
    <t>Taka</t>
  </si>
  <si>
    <t>Payment</t>
  </si>
  <si>
    <t>Balance B/D</t>
  </si>
  <si>
    <t>Total:</t>
  </si>
  <si>
    <t>Words:</t>
  </si>
  <si>
    <t xml:space="preserve">Balance </t>
  </si>
  <si>
    <t>Prepered By                Accountant              Principal                 Financial Dirctor               Chairman</t>
  </si>
  <si>
    <t>Tution fee</t>
  </si>
  <si>
    <t>Date</t>
  </si>
  <si>
    <t>Total</t>
  </si>
  <si>
    <t>Total Amount</t>
  </si>
  <si>
    <t>Total :</t>
  </si>
  <si>
    <t>Dress</t>
  </si>
  <si>
    <t>Quantity</t>
  </si>
  <si>
    <t>Pieces</t>
  </si>
  <si>
    <t>Form Fee</t>
  </si>
  <si>
    <t>Khata Sale</t>
  </si>
  <si>
    <t>Nasta Expense</t>
  </si>
  <si>
    <t>Admision Fee</t>
  </si>
  <si>
    <t>01/04/2019</t>
  </si>
  <si>
    <t>Tie Sale</t>
  </si>
  <si>
    <t>Glass Repair exps.</t>
  </si>
  <si>
    <t>For the month of April'2019</t>
  </si>
  <si>
    <t>Cash Handover to Siddik Vai</t>
  </si>
  <si>
    <t>02/04/2019</t>
  </si>
  <si>
    <t>Dress Sale</t>
  </si>
  <si>
    <t>Water bill</t>
  </si>
  <si>
    <t>Office Maintainance exps.</t>
  </si>
  <si>
    <t>Book Purchase (Sami Vai)</t>
  </si>
  <si>
    <t>Book Purchase (Miskat Madam)</t>
  </si>
  <si>
    <t>Photocopy Charges (Principal)</t>
  </si>
  <si>
    <t>Monogram Sale</t>
  </si>
  <si>
    <t>Office Rent</t>
  </si>
  <si>
    <t>Cash Return (Office Maintain)</t>
  </si>
  <si>
    <t>Lock Purchase</t>
  </si>
  <si>
    <t>Stationery exps. (Principal)</t>
  </si>
  <si>
    <t>06/04/2019</t>
  </si>
  <si>
    <t>03/04/2019</t>
  </si>
  <si>
    <t>Book Purchase (Principal)</t>
  </si>
  <si>
    <t>Conveyance for JSC Registration</t>
  </si>
  <si>
    <t>Stationery exps. (Envlop) Principal</t>
  </si>
  <si>
    <t>Mobile bill (100*26)</t>
  </si>
  <si>
    <t>Stationery exps. (Humaira Apa)</t>
  </si>
  <si>
    <t>07/04/2019</t>
  </si>
  <si>
    <t>Cash Return from Sami (Stationery)</t>
  </si>
  <si>
    <t>Electricial goods exps, (Abu)</t>
  </si>
  <si>
    <t>Repairing Charges (Wash Room)</t>
  </si>
  <si>
    <t>08/04/2019</t>
  </si>
  <si>
    <t>Advaance Salary (Khaleda)</t>
  </si>
  <si>
    <t>Internet bill</t>
  </si>
  <si>
    <t>Registration fee (Class 8)</t>
  </si>
  <si>
    <t>Allowance Boishakhi Festival Teachers</t>
  </si>
  <si>
    <t>Boihakhi Festival (Gate Exps.) Mishu</t>
  </si>
  <si>
    <t>09/04/2019</t>
  </si>
  <si>
    <t>10/04/2019</t>
  </si>
  <si>
    <t>Office maintainance exps. (Abu)</t>
  </si>
  <si>
    <t>Electricial goods exps. (Abu)</t>
  </si>
  <si>
    <t>Stationery exps. (Boishakhi Festival</t>
  </si>
  <si>
    <t>Registration Fee for Class 8 (22*1200)</t>
  </si>
  <si>
    <t>Office maintainance (Abu)</t>
  </si>
  <si>
    <t>Teacher entertainment exps. (10/04/19)</t>
  </si>
  <si>
    <t>Rent Rcvd.from Rakib Sir</t>
  </si>
  <si>
    <t>Paper exps.</t>
  </si>
  <si>
    <t xml:space="preserve">Allowance Boishakhi Festival </t>
  </si>
  <si>
    <t>Janata Electric</t>
  </si>
  <si>
    <t>11/04/2019</t>
  </si>
  <si>
    <t>13/04/2019</t>
  </si>
  <si>
    <t>Cash Return from Saker</t>
  </si>
  <si>
    <t>Photocopy exps. (Istiak Vai)</t>
  </si>
  <si>
    <t>Registration Fee for Class 8 (8*1200)</t>
  </si>
  <si>
    <t>15/04/2019</t>
  </si>
  <si>
    <t>Conveyance</t>
  </si>
  <si>
    <t>Salary</t>
  </si>
  <si>
    <t>Salary Adjusted from Khelada</t>
  </si>
  <si>
    <t>Entertainment exps. For Student</t>
  </si>
  <si>
    <t>Conveyance (Sumi)</t>
  </si>
  <si>
    <t>Gate expenses (Ribbon)</t>
  </si>
  <si>
    <t>Boishakhi exps. (Reza Vai)</t>
  </si>
  <si>
    <t>Boishakhi exps. (Abu)  Reza Vai</t>
  </si>
  <si>
    <t>Crocraies &amp; Gift Boishakhi</t>
  </si>
  <si>
    <t>16/04/2019</t>
  </si>
  <si>
    <t>Late Fee</t>
  </si>
  <si>
    <t>Rent exps, Munna Chowdhury</t>
  </si>
  <si>
    <t>Gate exps. Flower (Mishu Dutta)</t>
  </si>
  <si>
    <t>TC</t>
  </si>
  <si>
    <t>Decoration exps. (Boishakhi)</t>
  </si>
  <si>
    <t>Wash Room Lock</t>
  </si>
  <si>
    <t>Rent Rcvd.from Jahid Sir</t>
  </si>
  <si>
    <t>17/04/2019</t>
  </si>
  <si>
    <t>Exam Fee Class Test (Play)</t>
  </si>
  <si>
    <t>Entertainment exps. (Boishakhi Program)</t>
  </si>
  <si>
    <t>Paper bill</t>
  </si>
  <si>
    <t>18/04/2019</t>
  </si>
  <si>
    <t>Electric bill</t>
  </si>
  <si>
    <t>Conveyance (Abu)</t>
  </si>
  <si>
    <t>Music Instruments, Gate making exps.</t>
  </si>
  <si>
    <t>Computer Compose</t>
  </si>
  <si>
    <t>Battery Purchase (Abu)</t>
  </si>
  <si>
    <t>Cleaning Expense (Abu)</t>
  </si>
  <si>
    <t>Office mainteinance</t>
  </si>
  <si>
    <t>Electrical Expense</t>
  </si>
  <si>
    <t>Registration Expense (Class-8)</t>
  </si>
  <si>
    <t>Photo &amp; Image Exp (Class-8), Pendrive</t>
  </si>
  <si>
    <t>23/04/2019</t>
  </si>
  <si>
    <t>24/04/2019</t>
  </si>
  <si>
    <t>Registration Fee for Class 8 (14*1200)</t>
  </si>
  <si>
    <t>Cash Return from (Selina)</t>
  </si>
  <si>
    <t>Entertainment Exp. (Cl-8) 19.4.2019</t>
  </si>
  <si>
    <t>Dress Expense (Class-8)</t>
  </si>
  <si>
    <t>Conveyance (Khurshed)</t>
  </si>
  <si>
    <t>Rent Expense (Kusum Tower)</t>
  </si>
  <si>
    <t>Entertainment Exp. 20.4.2019</t>
  </si>
  <si>
    <t>Photocopy Exp. 20.4.2019</t>
  </si>
  <si>
    <t>Holiday Allowence</t>
  </si>
  <si>
    <t>Entertainment (Lunch)</t>
  </si>
  <si>
    <t>Office Maintainance</t>
  </si>
  <si>
    <t>25/04/2019</t>
  </si>
  <si>
    <t>Entertainment (Lunch for routine)</t>
  </si>
  <si>
    <t>Conveyance (Principle Sir)</t>
  </si>
  <si>
    <t>Kader Electric</t>
  </si>
  <si>
    <t>Office Maintain (Wheel,Harpic)</t>
  </si>
  <si>
    <t>27/04/2019</t>
  </si>
  <si>
    <t>Entertainment Exp. For Gurdian Meeting</t>
  </si>
  <si>
    <t>28/04/2019</t>
  </si>
  <si>
    <t>Entertainment Exp. For 26 March (Jony)</t>
  </si>
  <si>
    <t>Nasta Expense (Saleh)</t>
  </si>
  <si>
    <t>Mobile bill (Princupal, Juli )</t>
  </si>
  <si>
    <t>Photocopy Charges  (Princupal)</t>
  </si>
  <si>
    <t>Cash Discount from (Jony)</t>
  </si>
  <si>
    <t>Labour Cost</t>
  </si>
  <si>
    <t>29/04/2019</t>
  </si>
  <si>
    <t>Due Paid</t>
  </si>
  <si>
    <t>Loan given to Ali Ashraf</t>
  </si>
  <si>
    <t>Cleaning exps, (Chairman Sir)</t>
  </si>
  <si>
    <t>Stationery exps. (Sami, Principal Sir)</t>
  </si>
  <si>
    <t>E-mail: learningbidsc@gmail.com</t>
  </si>
  <si>
    <t>Entertainment</t>
  </si>
  <si>
    <t>Transportation</t>
  </si>
  <si>
    <t xml:space="preserve"> </t>
  </si>
  <si>
    <r>
      <rPr>
        <i/>
        <u/>
        <sz val="11"/>
        <color theme="1"/>
        <rFont val="Calibri"/>
        <family val="2"/>
        <scheme val="minor"/>
      </rPr>
      <t>Prepered By</t>
    </r>
    <r>
      <rPr>
        <sz val="11"/>
        <color theme="1"/>
        <rFont val="Calibri"/>
        <family val="2"/>
        <scheme val="minor"/>
      </rPr>
      <t xml:space="preserve">                                                   </t>
    </r>
    <r>
      <rPr>
        <i/>
        <sz val="11"/>
        <color theme="1"/>
        <rFont val="Calibri"/>
        <family val="2"/>
        <scheme val="minor"/>
      </rPr>
      <t xml:space="preserve">Accountant                                                               Principal    </t>
    </r>
    <r>
      <rPr>
        <sz val="11"/>
        <color theme="1"/>
        <rFont val="Calibri"/>
        <family val="2"/>
        <scheme val="minor"/>
      </rPr>
      <t xml:space="preserve">            </t>
    </r>
  </si>
  <si>
    <t>For the month of July 2022</t>
  </si>
  <si>
    <t>Khata sale</t>
  </si>
  <si>
    <t>testimonial</t>
  </si>
  <si>
    <t>Staff Salary</t>
  </si>
  <si>
    <t>Stationary (Room Spery)</t>
  </si>
  <si>
    <t>Water Bill June 2022</t>
  </si>
  <si>
    <t>03/07/2022</t>
  </si>
  <si>
    <t>One lack eighteen thousand two hundred ninty</t>
  </si>
</sst>
</file>

<file path=xl/styles.xml><?xml version="1.0" encoding="utf-8"?>
<styleSheet xmlns="http://schemas.openxmlformats.org/spreadsheetml/2006/main">
  <numFmts count="1">
    <numFmt numFmtId="164" formatCode="0.00_);[Red]\(0.00\)"/>
  </numFmts>
  <fonts count="2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sz val="7"/>
      <color theme="1"/>
      <name val="Times New Roman"/>
      <family val="1"/>
    </font>
    <font>
      <sz val="11"/>
      <color theme="1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4"/>
      <color theme="1"/>
      <name val="Times New Roman"/>
      <family val="1"/>
    </font>
    <font>
      <i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0" xfId="0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9" fillId="0" borderId="1" xfId="0" applyFont="1" applyBorder="1"/>
    <xf numFmtId="0" fontId="0" fillId="0" borderId="0" xfId="0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/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0" fontId="9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11" fillId="0" borderId="1" xfId="0" applyFont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7" fillId="3" borderId="8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11" fillId="0" borderId="11" xfId="0" applyFont="1" applyBorder="1"/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12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16" fillId="0" borderId="1" xfId="0" applyFont="1" applyBorder="1"/>
    <xf numFmtId="0" fontId="5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18" fillId="3" borderId="4" xfId="0" applyFont="1" applyFill="1" applyBorder="1" applyAlignment="1">
      <alignment horizontal="center" wrapText="1"/>
    </xf>
    <xf numFmtId="0" fontId="18" fillId="3" borderId="9" xfId="0" applyFont="1" applyFill="1" applyBorder="1" applyAlignment="1">
      <alignment horizontal="center" wrapText="1"/>
    </xf>
    <xf numFmtId="0" fontId="18" fillId="3" borderId="3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0" fontId="5" fillId="3" borderId="0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12" fillId="3" borderId="7" xfId="0" applyFont="1" applyFill="1" applyBorder="1" applyAlignment="1">
      <alignment horizontal="center" wrapText="1"/>
    </xf>
    <xf numFmtId="0" fontId="15" fillId="3" borderId="5" xfId="0" applyFont="1" applyFill="1" applyBorder="1" applyAlignment="1">
      <alignment horizontal="center" wrapText="1"/>
    </xf>
    <xf numFmtId="0" fontId="15" fillId="3" borderId="6" xfId="0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center" wrapText="1"/>
    </xf>
    <xf numFmtId="0" fontId="5" fillId="3" borderId="11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5" fillId="3" borderId="4" xfId="0" applyFont="1" applyFill="1" applyBorder="1" applyAlignment="1">
      <alignment horizontal="center" wrapText="1"/>
    </xf>
    <xf numFmtId="0" fontId="5" fillId="3" borderId="9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6" fillId="3" borderId="8" xfId="0" applyFont="1" applyFill="1" applyBorder="1" applyAlignment="1">
      <alignment horizontal="center" wrapText="1"/>
    </xf>
    <xf numFmtId="0" fontId="6" fillId="3" borderId="0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wrapText="1"/>
    </xf>
    <xf numFmtId="0" fontId="7" fillId="3" borderId="7" xfId="0" applyFont="1" applyFill="1" applyBorder="1" applyAlignment="1">
      <alignment horizontal="center" wrapText="1"/>
    </xf>
    <xf numFmtId="0" fontId="6" fillId="3" borderId="5" xfId="0" applyFont="1" applyFill="1" applyBorder="1" applyAlignment="1">
      <alignment horizontal="center" wrapText="1"/>
    </xf>
    <xf numFmtId="0" fontId="6" fillId="3" borderId="6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>
      <selection activeCell="C26" sqref="C26:F26"/>
    </sheetView>
  </sheetViews>
  <sheetFormatPr defaultRowHeight="15"/>
  <cols>
    <col min="1" max="1" width="4" style="1" customWidth="1"/>
    <col min="2" max="2" width="29.5703125" style="1" customWidth="1"/>
    <col min="3" max="3" width="10.85546875" style="1" customWidth="1"/>
    <col min="4" max="4" width="4.140625" style="1" customWidth="1"/>
    <col min="5" max="5" width="28.7109375" style="1" customWidth="1"/>
    <col min="6" max="6" width="12.5703125" style="1" customWidth="1"/>
    <col min="7" max="16384" width="9.140625" style="1"/>
  </cols>
  <sheetData>
    <row r="1" spans="1:9" ht="18.75">
      <c r="A1" s="81" t="s">
        <v>0</v>
      </c>
      <c r="B1" s="82"/>
      <c r="C1" s="82"/>
      <c r="D1" s="82"/>
      <c r="E1" s="82"/>
      <c r="F1" s="83"/>
    </row>
    <row r="2" spans="1:9" ht="15.75">
      <c r="A2" s="84" t="s">
        <v>1</v>
      </c>
      <c r="B2" s="85"/>
      <c r="C2" s="85"/>
      <c r="D2" s="85"/>
      <c r="E2" s="85"/>
      <c r="F2" s="86"/>
    </row>
    <row r="3" spans="1:9">
      <c r="A3" s="87" t="s">
        <v>141</v>
      </c>
      <c r="B3" s="88"/>
      <c r="C3" s="88"/>
      <c r="D3" s="88"/>
      <c r="E3" s="88"/>
      <c r="F3" s="89"/>
    </row>
    <row r="4" spans="1:9" ht="15.75">
      <c r="A4" s="28"/>
      <c r="B4" s="90" t="s">
        <v>146</v>
      </c>
      <c r="C4" s="90"/>
      <c r="D4" s="90"/>
      <c r="E4" s="90"/>
      <c r="F4" s="91"/>
    </row>
    <row r="5" spans="1:9" ht="15.75">
      <c r="A5" s="92" t="s">
        <v>3</v>
      </c>
      <c r="B5" s="93"/>
      <c r="C5" s="93"/>
      <c r="D5" s="93"/>
      <c r="E5" s="93"/>
      <c r="F5" s="78" t="s">
        <v>14</v>
      </c>
    </row>
    <row r="6" spans="1:9">
      <c r="A6" s="94"/>
      <c r="B6" s="95"/>
      <c r="C6" s="95"/>
      <c r="D6" s="95"/>
      <c r="E6" s="95"/>
      <c r="F6" s="5" t="s">
        <v>152</v>
      </c>
    </row>
    <row r="7" spans="1:9" ht="21.75" customHeight="1">
      <c r="A7" s="74" t="s">
        <v>4</v>
      </c>
      <c r="B7" s="74" t="s">
        <v>5</v>
      </c>
      <c r="C7" s="74" t="s">
        <v>6</v>
      </c>
      <c r="D7" s="74" t="s">
        <v>4</v>
      </c>
      <c r="E7" s="74" t="s">
        <v>7</v>
      </c>
      <c r="F7" s="74" t="s">
        <v>6</v>
      </c>
    </row>
    <row r="8" spans="1:9" ht="18.75" customHeight="1">
      <c r="A8" s="73">
        <v>1</v>
      </c>
      <c r="B8" s="73" t="s">
        <v>8</v>
      </c>
      <c r="C8" s="74">
        <v>115570</v>
      </c>
      <c r="D8" s="73">
        <v>1</v>
      </c>
      <c r="E8" s="73" t="s">
        <v>142</v>
      </c>
      <c r="F8" s="75">
        <v>480</v>
      </c>
    </row>
    <row r="9" spans="1:9" ht="18.75" customHeight="1">
      <c r="A9" s="73">
        <v>2</v>
      </c>
      <c r="B9" s="73" t="s">
        <v>13</v>
      </c>
      <c r="C9" s="76">
        <v>3200</v>
      </c>
      <c r="D9" s="73">
        <v>2</v>
      </c>
      <c r="E9" s="73" t="s">
        <v>149</v>
      </c>
      <c r="F9" s="77"/>
    </row>
    <row r="10" spans="1:9" ht="18.75" customHeight="1">
      <c r="A10" s="73">
        <v>3</v>
      </c>
      <c r="B10" s="73" t="s">
        <v>147</v>
      </c>
      <c r="C10" s="76"/>
      <c r="D10" s="73">
        <v>3</v>
      </c>
      <c r="E10" s="73" t="s">
        <v>150</v>
      </c>
      <c r="F10" s="77"/>
    </row>
    <row r="11" spans="1:9" ht="18.75" customHeight="1">
      <c r="A11" s="73">
        <v>4</v>
      </c>
      <c r="B11" s="73" t="s">
        <v>148</v>
      </c>
      <c r="C11" s="76"/>
      <c r="D11" s="73">
        <v>4</v>
      </c>
      <c r="E11" s="73" t="s">
        <v>143</v>
      </c>
      <c r="F11" s="77"/>
      <c r="I11" s="1" t="s">
        <v>144</v>
      </c>
    </row>
    <row r="12" spans="1:9" ht="18.75" customHeight="1">
      <c r="A12" s="73">
        <v>5</v>
      </c>
      <c r="B12" s="7"/>
      <c r="C12" s="14"/>
      <c r="D12" s="7">
        <v>5</v>
      </c>
      <c r="E12" s="73" t="s">
        <v>151</v>
      </c>
      <c r="F12" s="77"/>
    </row>
    <row r="13" spans="1:9" ht="18.75" customHeight="1">
      <c r="A13" s="73">
        <v>6</v>
      </c>
      <c r="B13" s="7"/>
      <c r="C13" s="14"/>
      <c r="D13" s="7">
        <v>6</v>
      </c>
      <c r="E13" s="7"/>
      <c r="F13" s="17"/>
    </row>
    <row r="14" spans="1:9" ht="18.75" customHeight="1">
      <c r="A14" s="73">
        <v>7</v>
      </c>
      <c r="B14" s="7"/>
      <c r="C14" s="14"/>
      <c r="D14" s="7">
        <v>7</v>
      </c>
      <c r="E14" s="7"/>
      <c r="F14" s="17"/>
    </row>
    <row r="15" spans="1:9" ht="18.75" customHeight="1">
      <c r="A15" s="73">
        <v>8</v>
      </c>
      <c r="B15" s="7"/>
      <c r="C15" s="14"/>
      <c r="D15" s="7">
        <v>8</v>
      </c>
      <c r="E15" s="7"/>
      <c r="F15" s="17"/>
    </row>
    <row r="16" spans="1:9" ht="18.75" customHeight="1">
      <c r="A16" s="73">
        <v>9</v>
      </c>
      <c r="B16" s="7"/>
      <c r="C16" s="14"/>
      <c r="D16" s="7">
        <v>9</v>
      </c>
      <c r="E16" s="7"/>
      <c r="F16" s="17"/>
    </row>
    <row r="17" spans="1:6" ht="18.75" customHeight="1">
      <c r="A17" s="73">
        <v>10</v>
      </c>
      <c r="B17" s="25"/>
      <c r="C17" s="14"/>
      <c r="D17" s="7">
        <v>10</v>
      </c>
      <c r="E17" s="7"/>
      <c r="F17" s="17"/>
    </row>
    <row r="18" spans="1:6" ht="18.75" customHeight="1">
      <c r="A18" s="73">
        <v>11</v>
      </c>
      <c r="B18" s="7"/>
      <c r="C18" s="14"/>
      <c r="D18" s="7">
        <v>11</v>
      </c>
      <c r="E18" s="7"/>
      <c r="F18" s="17"/>
    </row>
    <row r="19" spans="1:6" ht="18.75" customHeight="1">
      <c r="A19" s="73">
        <v>12</v>
      </c>
      <c r="B19" s="2"/>
      <c r="C19" s="15"/>
      <c r="D19" s="7">
        <v>12</v>
      </c>
      <c r="E19" s="2"/>
      <c r="F19" s="18"/>
    </row>
    <row r="20" spans="1:6" ht="18.75" customHeight="1">
      <c r="A20" s="73">
        <v>13</v>
      </c>
      <c r="B20" s="25"/>
      <c r="C20" s="15"/>
      <c r="D20" s="7">
        <v>13</v>
      </c>
      <c r="E20" s="2"/>
      <c r="F20" s="18"/>
    </row>
    <row r="21" spans="1:6" ht="18.75" customHeight="1">
      <c r="A21" s="7"/>
      <c r="B21" s="25"/>
      <c r="C21" s="15"/>
      <c r="D21" s="7">
        <v>14</v>
      </c>
      <c r="E21" s="2"/>
      <c r="F21" s="18"/>
    </row>
    <row r="22" spans="1:6" ht="18.75" customHeight="1">
      <c r="A22" s="7"/>
      <c r="B22" s="53"/>
      <c r="C22" s="15"/>
      <c r="D22" s="7">
        <v>15</v>
      </c>
      <c r="E22" s="2"/>
      <c r="F22" s="18"/>
    </row>
    <row r="23" spans="1:6" ht="18.75" customHeight="1">
      <c r="A23" s="79" t="s">
        <v>9</v>
      </c>
      <c r="B23" s="80"/>
      <c r="C23" s="3">
        <f>SUM(C8:C22)</f>
        <v>118770</v>
      </c>
      <c r="D23" s="12"/>
      <c r="E23" s="13" t="s">
        <v>15</v>
      </c>
      <c r="F23" s="19">
        <f>SUM(F8:F22)</f>
        <v>480</v>
      </c>
    </row>
    <row r="24" spans="1:6" ht="18.75" customHeight="1">
      <c r="A24" s="8"/>
      <c r="B24" s="9"/>
      <c r="C24" s="10"/>
      <c r="D24" s="11"/>
    </row>
    <row r="25" spans="1:6" ht="18.75" customHeight="1">
      <c r="A25" s="96" t="s">
        <v>11</v>
      </c>
      <c r="B25" s="96"/>
      <c r="C25" s="96"/>
      <c r="D25" s="96"/>
      <c r="E25" s="97">
        <f>SUM(C23-F23)</f>
        <v>118290</v>
      </c>
      <c r="F25" s="98"/>
    </row>
    <row r="26" spans="1:6" ht="18.75" customHeight="1">
      <c r="A26" s="96" t="s">
        <v>10</v>
      </c>
      <c r="B26" s="96"/>
      <c r="C26" s="99" t="s">
        <v>153</v>
      </c>
      <c r="D26" s="100"/>
      <c r="E26" s="100"/>
      <c r="F26" s="101"/>
    </row>
    <row r="27" spans="1:6">
      <c r="A27" s="102" t="s">
        <v>145</v>
      </c>
      <c r="B27" s="102"/>
      <c r="C27" s="102"/>
      <c r="D27" s="102"/>
      <c r="E27" s="102"/>
      <c r="F27" s="102"/>
    </row>
    <row r="28" spans="1:6">
      <c r="A28" s="102"/>
      <c r="B28" s="102"/>
      <c r="C28" s="102"/>
      <c r="D28" s="102"/>
      <c r="E28" s="102"/>
      <c r="F28" s="102"/>
    </row>
    <row r="29" spans="1:6">
      <c r="A29" s="102"/>
      <c r="B29" s="102"/>
      <c r="C29" s="102"/>
      <c r="D29" s="102"/>
      <c r="E29" s="102"/>
      <c r="F29" s="102"/>
    </row>
    <row r="30" spans="1:6">
      <c r="A30" s="102"/>
      <c r="B30" s="102"/>
      <c r="C30" s="102"/>
      <c r="D30" s="102"/>
      <c r="E30" s="102"/>
      <c r="F30" s="102"/>
    </row>
    <row r="33" spans="2:5">
      <c r="B33" s="68"/>
      <c r="C33" s="68"/>
      <c r="D33" s="68"/>
      <c r="E33" s="68"/>
    </row>
    <row r="34" spans="2:5">
      <c r="B34" s="69"/>
      <c r="C34" s="69"/>
      <c r="D34" s="70"/>
      <c r="E34" s="69"/>
    </row>
    <row r="35" spans="2:5">
      <c r="B35" s="69"/>
      <c r="C35" s="69"/>
      <c r="D35" s="70"/>
      <c r="E35" s="69"/>
    </row>
    <row r="36" spans="2:5">
      <c r="B36" s="69"/>
      <c r="C36" s="69"/>
      <c r="D36" s="70"/>
      <c r="E36" s="69"/>
    </row>
    <row r="37" spans="2:5">
      <c r="B37" s="69"/>
      <c r="C37" s="69"/>
      <c r="D37" s="70"/>
      <c r="E37" s="69"/>
    </row>
    <row r="38" spans="2:5">
      <c r="B38" s="69"/>
      <c r="C38" s="69"/>
      <c r="D38" s="70"/>
      <c r="E38" s="69"/>
    </row>
    <row r="39" spans="2:5">
      <c r="B39" s="69"/>
      <c r="C39" s="69"/>
      <c r="D39" s="70"/>
      <c r="E39" s="69"/>
    </row>
    <row r="40" spans="2:5">
      <c r="B40" s="69"/>
      <c r="C40" s="71"/>
      <c r="D40" s="70"/>
      <c r="E40" s="69"/>
    </row>
    <row r="41" spans="2:5">
      <c r="B41" s="69"/>
      <c r="C41" s="69"/>
      <c r="D41" s="70"/>
      <c r="E41" s="69"/>
    </row>
    <row r="42" spans="2:5">
      <c r="B42" s="69"/>
      <c r="C42" s="69"/>
      <c r="D42" s="70"/>
      <c r="E42" s="69"/>
    </row>
    <row r="43" spans="2:5">
      <c r="B43" s="72"/>
      <c r="C43" s="69"/>
      <c r="D43" s="70"/>
      <c r="E43" s="68"/>
    </row>
    <row r="44" spans="2:5">
      <c r="B44" s="70"/>
      <c r="C44" s="70"/>
      <c r="D44" s="70"/>
      <c r="E44" s="70"/>
    </row>
    <row r="46" spans="2:5">
      <c r="E46" s="22"/>
    </row>
  </sheetData>
  <mergeCells count="11">
    <mergeCell ref="A25:D25"/>
    <mergeCell ref="E25:F25"/>
    <mergeCell ref="A26:B26"/>
    <mergeCell ref="C26:F26"/>
    <mergeCell ref="A27:F30"/>
    <mergeCell ref="A23:B23"/>
    <mergeCell ref="A1:F1"/>
    <mergeCell ref="A2:F2"/>
    <mergeCell ref="A3:F3"/>
    <mergeCell ref="B4:F4"/>
    <mergeCell ref="A5:E6"/>
  </mergeCells>
  <pageMargins left="0.5" right="0.5" top="0.5" bottom="0.5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6"/>
  <sheetViews>
    <sheetView workbookViewId="0">
      <selection activeCell="J18" sqref="J18"/>
    </sheetView>
  </sheetViews>
  <sheetFormatPr defaultRowHeight="15"/>
  <cols>
    <col min="1" max="1" width="2.42578125" style="1" customWidth="1"/>
    <col min="2" max="2" width="24.85546875" style="1" customWidth="1"/>
    <col min="3" max="3" width="10.85546875" style="1" customWidth="1"/>
    <col min="4" max="4" width="2.85546875" style="1" customWidth="1"/>
    <col min="5" max="5" width="26.85546875" style="1" customWidth="1"/>
    <col min="6" max="6" width="14.5703125" style="1" customWidth="1"/>
    <col min="7" max="16384" width="9.140625" style="1"/>
  </cols>
  <sheetData>
    <row r="1" spans="1:6" ht="15.75">
      <c r="A1" s="106" t="s">
        <v>0</v>
      </c>
      <c r="B1" s="107"/>
      <c r="C1" s="107"/>
      <c r="D1" s="107"/>
      <c r="E1" s="107"/>
      <c r="F1" s="108"/>
    </row>
    <row r="2" spans="1:6">
      <c r="A2" s="109" t="s">
        <v>1</v>
      </c>
      <c r="B2" s="110"/>
      <c r="C2" s="110"/>
      <c r="D2" s="110"/>
      <c r="E2" s="110"/>
      <c r="F2" s="111"/>
    </row>
    <row r="3" spans="1:6">
      <c r="A3" s="112" t="s">
        <v>2</v>
      </c>
      <c r="B3" s="113"/>
      <c r="C3" s="113"/>
      <c r="D3" s="113"/>
      <c r="E3" s="113"/>
      <c r="F3" s="114"/>
    </row>
    <row r="4" spans="1:6">
      <c r="A4" s="28"/>
      <c r="B4" s="115" t="s">
        <v>28</v>
      </c>
      <c r="C4" s="115"/>
      <c r="D4" s="115"/>
      <c r="E4" s="115"/>
      <c r="F4" s="116"/>
    </row>
    <row r="5" spans="1:6">
      <c r="A5" s="117" t="s">
        <v>3</v>
      </c>
      <c r="B5" s="118"/>
      <c r="C5" s="118"/>
      <c r="D5" s="118"/>
      <c r="E5" s="118"/>
      <c r="F5" s="4" t="s">
        <v>14</v>
      </c>
    </row>
    <row r="6" spans="1:6">
      <c r="A6" s="119"/>
      <c r="B6" s="120"/>
      <c r="C6" s="120"/>
      <c r="D6" s="120"/>
      <c r="E6" s="120"/>
      <c r="F6" s="5" t="s">
        <v>136</v>
      </c>
    </row>
    <row r="7" spans="1:6">
      <c r="A7" s="6" t="s">
        <v>4</v>
      </c>
      <c r="B7" s="6" t="s">
        <v>5</v>
      </c>
      <c r="C7" s="6" t="s">
        <v>6</v>
      </c>
      <c r="D7" s="6" t="s">
        <v>4</v>
      </c>
      <c r="E7" s="6" t="s">
        <v>7</v>
      </c>
      <c r="F7" s="6" t="s">
        <v>6</v>
      </c>
    </row>
    <row r="8" spans="1:6">
      <c r="A8" s="7">
        <v>1</v>
      </c>
      <c r="B8" s="7" t="s">
        <v>8</v>
      </c>
      <c r="C8" s="6">
        <v>14029</v>
      </c>
      <c r="D8" s="7">
        <v>1</v>
      </c>
      <c r="E8" s="7" t="s">
        <v>23</v>
      </c>
      <c r="F8" s="16">
        <v>620</v>
      </c>
    </row>
    <row r="9" spans="1:6">
      <c r="A9" s="7">
        <v>2</v>
      </c>
      <c r="B9" s="7" t="s">
        <v>13</v>
      </c>
      <c r="C9" s="14">
        <f>500+250+1000+600+600+500+1000+1000+2000</f>
        <v>7450</v>
      </c>
      <c r="D9" s="7">
        <v>2</v>
      </c>
      <c r="E9" s="25" t="s">
        <v>138</v>
      </c>
      <c r="F9" s="17">
        <v>1000</v>
      </c>
    </row>
    <row r="10" spans="1:6">
      <c r="A10" s="7">
        <v>3</v>
      </c>
      <c r="B10" s="7" t="s">
        <v>87</v>
      </c>
      <c r="C10" s="14"/>
      <c r="D10" s="7">
        <v>3</v>
      </c>
      <c r="E10" s="7" t="s">
        <v>139</v>
      </c>
      <c r="F10" s="17">
        <v>40</v>
      </c>
    </row>
    <row r="11" spans="1:6">
      <c r="A11" s="7">
        <v>4</v>
      </c>
      <c r="B11" s="7" t="s">
        <v>95</v>
      </c>
      <c r="C11" s="14"/>
      <c r="D11" s="7">
        <v>4</v>
      </c>
      <c r="E11" s="7" t="s">
        <v>140</v>
      </c>
      <c r="F11" s="17">
        <v>500</v>
      </c>
    </row>
    <row r="12" spans="1:6">
      <c r="A12" s="7">
        <v>5</v>
      </c>
      <c r="B12" s="7" t="s">
        <v>137</v>
      </c>
      <c r="C12" s="14">
        <f>410+1000+300</f>
        <v>1710</v>
      </c>
      <c r="D12" s="7">
        <v>5</v>
      </c>
      <c r="E12" s="7"/>
      <c r="F12" s="17"/>
    </row>
    <row r="13" spans="1:6">
      <c r="A13" s="7">
        <v>6</v>
      </c>
      <c r="B13" s="7" t="s">
        <v>31</v>
      </c>
      <c r="C13" s="14">
        <f>225</f>
        <v>225</v>
      </c>
      <c r="D13" s="7">
        <v>6</v>
      </c>
      <c r="E13" s="7"/>
      <c r="F13" s="17"/>
    </row>
    <row r="14" spans="1:6">
      <c r="A14" s="7">
        <v>7</v>
      </c>
      <c r="B14" s="7" t="s">
        <v>22</v>
      </c>
      <c r="C14" s="14">
        <f>100+25+25+125</f>
        <v>275</v>
      </c>
      <c r="D14" s="7">
        <v>7</v>
      </c>
      <c r="E14" s="7"/>
      <c r="F14" s="17"/>
    </row>
    <row r="15" spans="1:6">
      <c r="A15" s="7">
        <v>8</v>
      </c>
      <c r="B15" s="7" t="s">
        <v>26</v>
      </c>
      <c r="C15" s="14"/>
      <c r="D15" s="7">
        <v>8</v>
      </c>
      <c r="E15" s="7"/>
      <c r="F15" s="17"/>
    </row>
    <row r="16" spans="1:6">
      <c r="A16" s="7">
        <v>9</v>
      </c>
      <c r="B16" s="7" t="s">
        <v>37</v>
      </c>
      <c r="C16" s="14"/>
      <c r="D16" s="7">
        <v>9</v>
      </c>
      <c r="E16" s="7"/>
      <c r="F16" s="17"/>
    </row>
    <row r="17" spans="1:6">
      <c r="A17" s="7">
        <v>10</v>
      </c>
      <c r="B17" s="25" t="s">
        <v>111</v>
      </c>
      <c r="C17" s="14"/>
      <c r="D17" s="7">
        <v>10</v>
      </c>
      <c r="E17" s="7"/>
      <c r="F17" s="17"/>
    </row>
    <row r="18" spans="1:6">
      <c r="A18" s="7">
        <v>11</v>
      </c>
      <c r="B18" s="7" t="s">
        <v>67</v>
      </c>
      <c r="C18" s="14"/>
      <c r="D18" s="7">
        <v>11</v>
      </c>
      <c r="E18" s="7"/>
      <c r="F18" s="17"/>
    </row>
    <row r="19" spans="1:6">
      <c r="A19" s="7">
        <v>12</v>
      </c>
      <c r="B19" s="2" t="s">
        <v>134</v>
      </c>
      <c r="C19" s="15"/>
      <c r="D19" s="7">
        <v>12</v>
      </c>
      <c r="E19" s="2"/>
      <c r="F19" s="18"/>
    </row>
    <row r="20" spans="1:6">
      <c r="A20" s="7"/>
      <c r="B20" s="25"/>
      <c r="C20" s="15"/>
      <c r="D20" s="7">
        <v>13</v>
      </c>
      <c r="E20" s="2"/>
      <c r="F20" s="18"/>
    </row>
    <row r="21" spans="1:6">
      <c r="A21" s="7"/>
      <c r="B21" s="25"/>
      <c r="C21" s="15"/>
      <c r="D21" s="7">
        <v>14</v>
      </c>
      <c r="E21" s="2"/>
      <c r="F21" s="18"/>
    </row>
    <row r="22" spans="1:6">
      <c r="A22" s="7"/>
      <c r="B22" s="53"/>
      <c r="C22" s="15"/>
      <c r="D22" s="7">
        <v>15</v>
      </c>
      <c r="E22" s="2"/>
      <c r="F22" s="18"/>
    </row>
    <row r="23" spans="1:6">
      <c r="A23" s="79" t="s">
        <v>9</v>
      </c>
      <c r="B23" s="80"/>
      <c r="C23" s="3">
        <f>SUM(C8:C22)</f>
        <v>23689</v>
      </c>
      <c r="D23" s="12"/>
      <c r="E23" s="13" t="s">
        <v>15</v>
      </c>
      <c r="F23" s="19">
        <f>SUM(F8:F21)</f>
        <v>2160</v>
      </c>
    </row>
    <row r="24" spans="1:6">
      <c r="A24" s="8"/>
      <c r="B24" s="9"/>
      <c r="C24" s="10"/>
      <c r="D24" s="11"/>
    </row>
    <row r="25" spans="1:6">
      <c r="A25" s="96" t="s">
        <v>11</v>
      </c>
      <c r="B25" s="96"/>
      <c r="C25" s="96"/>
      <c r="D25" s="96"/>
      <c r="E25" s="97">
        <f>C23-F23</f>
        <v>21529</v>
      </c>
      <c r="F25" s="98"/>
    </row>
    <row r="26" spans="1:6">
      <c r="A26" s="96" t="s">
        <v>10</v>
      </c>
      <c r="B26" s="96"/>
      <c r="C26" s="103"/>
      <c r="D26" s="104"/>
      <c r="E26" s="104"/>
      <c r="F26" s="105"/>
    </row>
    <row r="27" spans="1:6">
      <c r="A27" s="102" t="s">
        <v>12</v>
      </c>
      <c r="B27" s="102"/>
      <c r="C27" s="102"/>
      <c r="D27" s="102"/>
      <c r="E27" s="102"/>
      <c r="F27" s="102"/>
    </row>
    <row r="28" spans="1:6">
      <c r="A28" s="102"/>
      <c r="B28" s="102"/>
      <c r="C28" s="102"/>
      <c r="D28" s="102"/>
      <c r="E28" s="102"/>
      <c r="F28" s="102"/>
    </row>
    <row r="29" spans="1:6">
      <c r="A29" s="102"/>
      <c r="B29" s="102"/>
      <c r="C29" s="102"/>
      <c r="D29" s="102"/>
      <c r="E29" s="102"/>
      <c r="F29" s="102"/>
    </row>
    <row r="30" spans="1:6">
      <c r="A30" s="102"/>
      <c r="B30" s="102"/>
      <c r="C30" s="102"/>
      <c r="D30" s="102"/>
      <c r="E30" s="102"/>
      <c r="F30" s="102"/>
    </row>
    <row r="33" spans="2:6">
      <c r="B33" s="20" t="s">
        <v>19</v>
      </c>
      <c r="C33" s="20" t="s">
        <v>20</v>
      </c>
      <c r="D33" s="20"/>
      <c r="E33" s="20" t="s">
        <v>16</v>
      </c>
      <c r="F33" s="1">
        <f>C9+C10+C11+C12+C13+C14+C15+C16+C17+C18+C19</f>
        <v>9660</v>
      </c>
    </row>
    <row r="34" spans="2:6">
      <c r="B34" s="67">
        <v>1000</v>
      </c>
      <c r="C34" s="67"/>
      <c r="D34" s="21"/>
      <c r="E34" s="67">
        <f>B34*C34</f>
        <v>0</v>
      </c>
      <c r="F34" s="1">
        <f>F23</f>
        <v>2160</v>
      </c>
    </row>
    <row r="35" spans="2:6">
      <c r="B35" s="67">
        <v>500</v>
      </c>
      <c r="C35" s="67">
        <v>8</v>
      </c>
      <c r="D35" s="21"/>
      <c r="E35" s="67">
        <f t="shared" ref="E35:E42" si="0">B35*C35</f>
        <v>4000</v>
      </c>
      <c r="F35" s="1">
        <f>F33-F34</f>
        <v>7500</v>
      </c>
    </row>
    <row r="36" spans="2:6">
      <c r="B36" s="67">
        <v>100</v>
      </c>
      <c r="C36" s="67">
        <v>15</v>
      </c>
      <c r="D36" s="21"/>
      <c r="E36" s="67">
        <f t="shared" si="0"/>
        <v>1500</v>
      </c>
    </row>
    <row r="37" spans="2:6">
      <c r="B37" s="67">
        <v>50</v>
      </c>
      <c r="C37" s="67">
        <v>20</v>
      </c>
      <c r="D37" s="21"/>
      <c r="E37" s="67">
        <f t="shared" si="0"/>
        <v>1000</v>
      </c>
    </row>
    <row r="38" spans="2:6">
      <c r="B38" s="67">
        <v>20</v>
      </c>
      <c r="C38" s="67">
        <v>24</v>
      </c>
      <c r="D38" s="21"/>
      <c r="E38" s="67">
        <f t="shared" si="0"/>
        <v>480</v>
      </c>
    </row>
    <row r="39" spans="2:6">
      <c r="B39" s="67">
        <v>10</v>
      </c>
      <c r="C39" s="67">
        <v>52</v>
      </c>
      <c r="D39" s="21"/>
      <c r="E39" s="67">
        <f t="shared" si="0"/>
        <v>520</v>
      </c>
    </row>
    <row r="40" spans="2:6">
      <c r="B40" s="67">
        <v>5</v>
      </c>
      <c r="C40" s="50"/>
      <c r="D40" s="21"/>
      <c r="E40" s="67">
        <f t="shared" si="0"/>
        <v>0</v>
      </c>
    </row>
    <row r="41" spans="2:6">
      <c r="B41" s="67">
        <v>2</v>
      </c>
      <c r="C41" s="67"/>
      <c r="D41" s="21"/>
      <c r="E41" s="67">
        <f t="shared" si="0"/>
        <v>0</v>
      </c>
    </row>
    <row r="42" spans="2:6">
      <c r="B42" s="67">
        <v>1</v>
      </c>
      <c r="C42" s="67"/>
      <c r="D42" s="21"/>
      <c r="E42" s="67">
        <f t="shared" si="0"/>
        <v>0</v>
      </c>
    </row>
    <row r="43" spans="2:6">
      <c r="B43" s="66" t="s">
        <v>17</v>
      </c>
      <c r="C43" s="67">
        <f>SUM(C34:C42)</f>
        <v>119</v>
      </c>
      <c r="D43" s="21"/>
      <c r="E43" s="20">
        <f>SUM(E34:E42)</f>
        <v>7500</v>
      </c>
    </row>
    <row r="44" spans="2:6">
      <c r="B44" s="21"/>
      <c r="C44" s="21"/>
      <c r="D44" s="21"/>
      <c r="E44" s="21"/>
    </row>
    <row r="46" spans="2:6">
      <c r="B46" s="1" t="s">
        <v>29</v>
      </c>
      <c r="E46" s="22"/>
    </row>
  </sheetData>
  <mergeCells count="11">
    <mergeCell ref="A23:B23"/>
    <mergeCell ref="A1:F1"/>
    <mergeCell ref="A2:F2"/>
    <mergeCell ref="A3:F3"/>
    <mergeCell ref="B4:F4"/>
    <mergeCell ref="A5:E6"/>
    <mergeCell ref="A25:D25"/>
    <mergeCell ref="E25:F25"/>
    <mergeCell ref="A26:B26"/>
    <mergeCell ref="C26:F26"/>
    <mergeCell ref="A27:F30"/>
  </mergeCells>
  <pageMargins left="1" right="1" top="0.5" bottom="0.5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6"/>
  <sheetViews>
    <sheetView topLeftCell="A25" workbookViewId="0">
      <selection activeCell="B33" sqref="B33"/>
    </sheetView>
  </sheetViews>
  <sheetFormatPr defaultRowHeight="15"/>
  <cols>
    <col min="1" max="1" width="2.42578125" style="1" customWidth="1"/>
    <col min="2" max="2" width="24.85546875" style="1" customWidth="1"/>
    <col min="3" max="3" width="10.85546875" style="1" customWidth="1"/>
    <col min="4" max="4" width="2.85546875" style="1" customWidth="1"/>
    <col min="5" max="5" width="26.85546875" style="1" customWidth="1"/>
    <col min="6" max="6" width="14.5703125" style="1" customWidth="1"/>
    <col min="7" max="16384" width="9.140625" style="1"/>
  </cols>
  <sheetData>
    <row r="1" spans="1:6" ht="15.75">
      <c r="A1" s="106" t="s">
        <v>0</v>
      </c>
      <c r="B1" s="107"/>
      <c r="C1" s="107"/>
      <c r="D1" s="107"/>
      <c r="E1" s="107"/>
      <c r="F1" s="108"/>
    </row>
    <row r="2" spans="1:6">
      <c r="A2" s="109" t="s">
        <v>1</v>
      </c>
      <c r="B2" s="110"/>
      <c r="C2" s="110"/>
      <c r="D2" s="110"/>
      <c r="E2" s="110"/>
      <c r="F2" s="111"/>
    </row>
    <row r="3" spans="1:6">
      <c r="A3" s="112" t="s">
        <v>2</v>
      </c>
      <c r="B3" s="113"/>
      <c r="C3" s="113"/>
      <c r="D3" s="113"/>
      <c r="E3" s="113"/>
      <c r="F3" s="114"/>
    </row>
    <row r="4" spans="1:6">
      <c r="A4" s="28"/>
      <c r="B4" s="115" t="s">
        <v>28</v>
      </c>
      <c r="C4" s="115"/>
      <c r="D4" s="115"/>
      <c r="E4" s="115"/>
      <c r="F4" s="116"/>
    </row>
    <row r="5" spans="1:6">
      <c r="A5" s="117" t="s">
        <v>3</v>
      </c>
      <c r="B5" s="118"/>
      <c r="C5" s="118"/>
      <c r="D5" s="118"/>
      <c r="E5" s="118"/>
      <c r="F5" s="4" t="s">
        <v>14</v>
      </c>
    </row>
    <row r="6" spans="1:6">
      <c r="A6" s="119"/>
      <c r="B6" s="120"/>
      <c r="C6" s="120"/>
      <c r="D6" s="120"/>
      <c r="E6" s="120"/>
      <c r="F6" s="5" t="s">
        <v>129</v>
      </c>
    </row>
    <row r="7" spans="1:6">
      <c r="A7" s="6" t="s">
        <v>4</v>
      </c>
      <c r="B7" s="6" t="s">
        <v>5</v>
      </c>
      <c r="C7" s="6" t="s">
        <v>6</v>
      </c>
      <c r="D7" s="6" t="s">
        <v>4</v>
      </c>
      <c r="E7" s="6" t="s">
        <v>7</v>
      </c>
      <c r="F7" s="6" t="s">
        <v>6</v>
      </c>
    </row>
    <row r="8" spans="1:6">
      <c r="A8" s="7">
        <v>1</v>
      </c>
      <c r="B8" s="7" t="s">
        <v>8</v>
      </c>
      <c r="C8" s="6">
        <v>13739</v>
      </c>
      <c r="D8" s="7">
        <v>1</v>
      </c>
      <c r="E8" s="7" t="s">
        <v>23</v>
      </c>
      <c r="F8" s="16">
        <f>220+150+65+40</f>
        <v>475</v>
      </c>
    </row>
    <row r="9" spans="1:6">
      <c r="A9" s="7">
        <v>2</v>
      </c>
      <c r="B9" s="7" t="s">
        <v>13</v>
      </c>
      <c r="C9" s="14">
        <f>1000+1500+1600</f>
        <v>4100</v>
      </c>
      <c r="D9" s="7">
        <v>2</v>
      </c>
      <c r="E9" s="25" t="s">
        <v>130</v>
      </c>
      <c r="F9" s="17">
        <v>2520</v>
      </c>
    </row>
    <row r="10" spans="1:6">
      <c r="A10" s="7">
        <v>3</v>
      </c>
      <c r="B10" s="7" t="s">
        <v>87</v>
      </c>
      <c r="C10" s="14"/>
      <c r="D10" s="7">
        <v>3</v>
      </c>
      <c r="E10" s="7" t="s">
        <v>131</v>
      </c>
      <c r="F10" s="17">
        <v>1000</v>
      </c>
    </row>
    <row r="11" spans="1:6">
      <c r="A11" s="7">
        <v>4</v>
      </c>
      <c r="B11" s="7" t="s">
        <v>95</v>
      </c>
      <c r="C11" s="14"/>
      <c r="D11" s="7">
        <v>4</v>
      </c>
      <c r="E11" s="7" t="s">
        <v>132</v>
      </c>
      <c r="F11" s="17">
        <v>50</v>
      </c>
    </row>
    <row r="12" spans="1:6">
      <c r="A12" s="7">
        <v>5</v>
      </c>
      <c r="B12" s="7" t="s">
        <v>21</v>
      </c>
      <c r="C12" s="14"/>
      <c r="D12" s="7">
        <v>5</v>
      </c>
      <c r="E12" s="7" t="s">
        <v>133</v>
      </c>
      <c r="F12" s="17">
        <v>50</v>
      </c>
    </row>
    <row r="13" spans="1:6">
      <c r="A13" s="7">
        <v>6</v>
      </c>
      <c r="B13" s="7" t="s">
        <v>31</v>
      </c>
      <c r="C13" s="14">
        <f>270</f>
        <v>270</v>
      </c>
      <c r="D13" s="7">
        <v>6</v>
      </c>
      <c r="E13" s="7" t="s">
        <v>135</v>
      </c>
      <c r="F13" s="17">
        <v>250</v>
      </c>
    </row>
    <row r="14" spans="1:6">
      <c r="A14" s="7">
        <v>7</v>
      </c>
      <c r="B14" s="7" t="s">
        <v>22</v>
      </c>
      <c r="C14" s="14">
        <f>50+15+60+20+100</f>
        <v>245</v>
      </c>
      <c r="D14" s="7">
        <v>7</v>
      </c>
      <c r="E14" s="7"/>
      <c r="F14" s="17"/>
    </row>
    <row r="15" spans="1:6">
      <c r="A15" s="7">
        <v>8</v>
      </c>
      <c r="B15" s="7" t="s">
        <v>26</v>
      </c>
      <c r="C15" s="14"/>
      <c r="D15" s="7">
        <v>8</v>
      </c>
      <c r="E15" s="7"/>
      <c r="F15" s="17"/>
    </row>
    <row r="16" spans="1:6">
      <c r="A16" s="7">
        <v>9</v>
      </c>
      <c r="B16" s="7" t="s">
        <v>37</v>
      </c>
      <c r="C16" s="14"/>
      <c r="D16" s="7">
        <v>9</v>
      </c>
      <c r="E16" s="7"/>
      <c r="F16" s="17"/>
    </row>
    <row r="17" spans="1:6">
      <c r="A17" s="7">
        <v>10</v>
      </c>
      <c r="B17" s="25" t="s">
        <v>111</v>
      </c>
      <c r="C17" s="14"/>
      <c r="D17" s="7">
        <v>10</v>
      </c>
      <c r="E17" s="7"/>
      <c r="F17" s="17"/>
    </row>
    <row r="18" spans="1:6">
      <c r="A18" s="7">
        <v>11</v>
      </c>
      <c r="B18" s="7" t="s">
        <v>67</v>
      </c>
      <c r="C18" s="14"/>
      <c r="D18" s="7">
        <v>11</v>
      </c>
      <c r="E18" s="7"/>
      <c r="F18" s="17"/>
    </row>
    <row r="19" spans="1:6">
      <c r="A19" s="7">
        <v>12</v>
      </c>
      <c r="B19" s="2" t="s">
        <v>134</v>
      </c>
      <c r="C19" s="15">
        <v>20</v>
      </c>
      <c r="D19" s="7">
        <v>12</v>
      </c>
      <c r="E19" s="2"/>
      <c r="F19" s="18"/>
    </row>
    <row r="20" spans="1:6">
      <c r="A20" s="7"/>
      <c r="B20" s="25"/>
      <c r="C20" s="15"/>
      <c r="D20" s="7">
        <v>13</v>
      </c>
      <c r="E20" s="2"/>
      <c r="F20" s="18"/>
    </row>
    <row r="21" spans="1:6">
      <c r="A21" s="7"/>
      <c r="B21" s="25"/>
      <c r="C21" s="15"/>
      <c r="D21" s="7">
        <v>14</v>
      </c>
      <c r="E21" s="2"/>
      <c r="F21" s="18"/>
    </row>
    <row r="22" spans="1:6">
      <c r="A22" s="7"/>
      <c r="B22" s="53"/>
      <c r="C22" s="15"/>
      <c r="D22" s="7">
        <v>15</v>
      </c>
      <c r="E22" s="2"/>
      <c r="F22" s="18"/>
    </row>
    <row r="23" spans="1:6">
      <c r="A23" s="79" t="s">
        <v>9</v>
      </c>
      <c r="B23" s="80"/>
      <c r="C23" s="3">
        <f>SUM(C8:C22)</f>
        <v>18374</v>
      </c>
      <c r="D23" s="12"/>
      <c r="E23" s="13" t="s">
        <v>15</v>
      </c>
      <c r="F23" s="19">
        <f>SUM(F8:F21)</f>
        <v>4345</v>
      </c>
    </row>
    <row r="24" spans="1:6">
      <c r="A24" s="8"/>
      <c r="B24" s="9"/>
      <c r="C24" s="10"/>
      <c r="D24" s="11"/>
    </row>
    <row r="25" spans="1:6">
      <c r="A25" s="96" t="s">
        <v>11</v>
      </c>
      <c r="B25" s="96"/>
      <c r="C25" s="96"/>
      <c r="D25" s="96"/>
      <c r="E25" s="97">
        <f>C23-F23</f>
        <v>14029</v>
      </c>
      <c r="F25" s="98"/>
    </row>
    <row r="26" spans="1:6">
      <c r="A26" s="96" t="s">
        <v>10</v>
      </c>
      <c r="B26" s="96"/>
      <c r="C26" s="103"/>
      <c r="D26" s="104"/>
      <c r="E26" s="104"/>
      <c r="F26" s="105"/>
    </row>
    <row r="27" spans="1:6">
      <c r="A27" s="102" t="s">
        <v>12</v>
      </c>
      <c r="B27" s="102"/>
      <c r="C27" s="102"/>
      <c r="D27" s="102"/>
      <c r="E27" s="102"/>
      <c r="F27" s="102"/>
    </row>
    <row r="28" spans="1:6">
      <c r="A28" s="102"/>
      <c r="B28" s="102"/>
      <c r="C28" s="102"/>
      <c r="D28" s="102"/>
      <c r="E28" s="102"/>
      <c r="F28" s="102"/>
    </row>
    <row r="29" spans="1:6">
      <c r="A29" s="102"/>
      <c r="B29" s="102"/>
      <c r="C29" s="102"/>
      <c r="D29" s="102"/>
      <c r="E29" s="102"/>
      <c r="F29" s="102"/>
    </row>
    <row r="30" spans="1:6">
      <c r="A30" s="102"/>
      <c r="B30" s="102"/>
      <c r="C30" s="102"/>
      <c r="D30" s="102"/>
      <c r="E30" s="102"/>
      <c r="F30" s="102"/>
    </row>
    <row r="33" spans="2:6">
      <c r="B33" s="20" t="s">
        <v>19</v>
      </c>
      <c r="C33" s="20" t="s">
        <v>20</v>
      </c>
      <c r="D33" s="20"/>
      <c r="E33" s="20" t="s">
        <v>16</v>
      </c>
      <c r="F33" s="1">
        <f>C9+C10+C11+C12+C13+C14+C15+C16+C17+C18+C19</f>
        <v>4635</v>
      </c>
    </row>
    <row r="34" spans="2:6">
      <c r="B34" s="65">
        <v>1000</v>
      </c>
      <c r="C34" s="65"/>
      <c r="D34" s="21"/>
      <c r="E34" s="65">
        <f>B34*C34</f>
        <v>0</v>
      </c>
      <c r="F34" s="1">
        <f>F23</f>
        <v>4345</v>
      </c>
    </row>
    <row r="35" spans="2:6">
      <c r="B35" s="65">
        <v>500</v>
      </c>
      <c r="C35" s="65"/>
      <c r="D35" s="21"/>
      <c r="E35" s="65">
        <f t="shared" ref="E35:E42" si="0">B35*C35</f>
        <v>0</v>
      </c>
      <c r="F35" s="1">
        <f>F33-F34</f>
        <v>290</v>
      </c>
    </row>
    <row r="36" spans="2:6">
      <c r="B36" s="65">
        <v>100</v>
      </c>
      <c r="C36" s="65">
        <v>2</v>
      </c>
      <c r="D36" s="21"/>
      <c r="E36" s="65">
        <f t="shared" si="0"/>
        <v>200</v>
      </c>
    </row>
    <row r="37" spans="2:6">
      <c r="B37" s="65">
        <v>50</v>
      </c>
      <c r="C37" s="65">
        <v>2</v>
      </c>
      <c r="D37" s="21"/>
      <c r="E37" s="65">
        <f t="shared" si="0"/>
        <v>100</v>
      </c>
    </row>
    <row r="38" spans="2:6">
      <c r="B38" s="65">
        <v>20</v>
      </c>
      <c r="C38" s="65"/>
      <c r="D38" s="21"/>
      <c r="E38" s="65">
        <f t="shared" si="0"/>
        <v>0</v>
      </c>
    </row>
    <row r="39" spans="2:6">
      <c r="B39" s="65">
        <v>10</v>
      </c>
      <c r="C39" s="65"/>
      <c r="D39" s="21"/>
      <c r="E39" s="65">
        <f t="shared" si="0"/>
        <v>0</v>
      </c>
    </row>
    <row r="40" spans="2:6">
      <c r="B40" s="65">
        <v>5</v>
      </c>
      <c r="C40" s="50"/>
      <c r="D40" s="21"/>
      <c r="E40" s="65">
        <f t="shared" si="0"/>
        <v>0</v>
      </c>
    </row>
    <row r="41" spans="2:6">
      <c r="B41" s="65">
        <v>2</v>
      </c>
      <c r="C41" s="65"/>
      <c r="D41" s="21"/>
      <c r="E41" s="65">
        <f t="shared" si="0"/>
        <v>0</v>
      </c>
    </row>
    <row r="42" spans="2:6">
      <c r="B42" s="65">
        <v>1</v>
      </c>
      <c r="C42" s="65"/>
      <c r="D42" s="21"/>
      <c r="E42" s="65">
        <f t="shared" si="0"/>
        <v>0</v>
      </c>
    </row>
    <row r="43" spans="2:6">
      <c r="B43" s="64" t="s">
        <v>17</v>
      </c>
      <c r="C43" s="65">
        <f>SUM(C34:C42)</f>
        <v>4</v>
      </c>
      <c r="D43" s="21"/>
      <c r="E43" s="20">
        <f>SUM(E34:E42)</f>
        <v>300</v>
      </c>
    </row>
    <row r="44" spans="2:6">
      <c r="B44" s="21"/>
      <c r="C44" s="21"/>
      <c r="D44" s="21"/>
      <c r="E44" s="21"/>
    </row>
    <row r="46" spans="2:6">
      <c r="B46" s="1" t="s">
        <v>29</v>
      </c>
      <c r="E46" s="22"/>
    </row>
  </sheetData>
  <mergeCells count="11">
    <mergeCell ref="A23:B23"/>
    <mergeCell ref="A1:F1"/>
    <mergeCell ref="A2:F2"/>
    <mergeCell ref="A3:F3"/>
    <mergeCell ref="B4:F4"/>
    <mergeCell ref="A5:E6"/>
    <mergeCell ref="A25:D25"/>
    <mergeCell ref="E25:F25"/>
    <mergeCell ref="A26:B26"/>
    <mergeCell ref="C26:F26"/>
    <mergeCell ref="A27:F30"/>
  </mergeCells>
  <pageMargins left="1" right="1" top="0.5" bottom="0.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6"/>
  <sheetViews>
    <sheetView workbookViewId="0">
      <selection activeCell="C38" sqref="C38"/>
    </sheetView>
  </sheetViews>
  <sheetFormatPr defaultRowHeight="15"/>
  <cols>
    <col min="1" max="1" width="2.42578125" style="1" customWidth="1"/>
    <col min="2" max="2" width="24.85546875" style="1" customWidth="1"/>
    <col min="3" max="3" width="10.85546875" style="1" customWidth="1"/>
    <col min="4" max="4" width="2.85546875" style="1" customWidth="1"/>
    <col min="5" max="5" width="26.85546875" style="1" customWidth="1"/>
    <col min="6" max="6" width="14.5703125" style="1" customWidth="1"/>
    <col min="7" max="16384" width="9.140625" style="1"/>
  </cols>
  <sheetData>
    <row r="1" spans="1:6" ht="15.75">
      <c r="A1" s="106" t="s">
        <v>0</v>
      </c>
      <c r="B1" s="107"/>
      <c r="C1" s="107"/>
      <c r="D1" s="107"/>
      <c r="E1" s="107"/>
      <c r="F1" s="108"/>
    </row>
    <row r="2" spans="1:6">
      <c r="A2" s="109" t="s">
        <v>1</v>
      </c>
      <c r="B2" s="110"/>
      <c r="C2" s="110"/>
      <c r="D2" s="110"/>
      <c r="E2" s="110"/>
      <c r="F2" s="111"/>
    </row>
    <row r="3" spans="1:6">
      <c r="A3" s="112" t="s">
        <v>2</v>
      </c>
      <c r="B3" s="113"/>
      <c r="C3" s="113"/>
      <c r="D3" s="113"/>
      <c r="E3" s="113"/>
      <c r="F3" s="114"/>
    </row>
    <row r="4" spans="1:6">
      <c r="A4" s="28"/>
      <c r="B4" s="115" t="s">
        <v>28</v>
      </c>
      <c r="C4" s="115"/>
      <c r="D4" s="115"/>
      <c r="E4" s="115"/>
      <c r="F4" s="116"/>
    </row>
    <row r="5" spans="1:6">
      <c r="A5" s="117" t="s">
        <v>3</v>
      </c>
      <c r="B5" s="118"/>
      <c r="C5" s="118"/>
      <c r="D5" s="118"/>
      <c r="E5" s="118"/>
      <c r="F5" s="4" t="s">
        <v>14</v>
      </c>
    </row>
    <row r="6" spans="1:6">
      <c r="A6" s="119"/>
      <c r="B6" s="120"/>
      <c r="C6" s="120"/>
      <c r="D6" s="120"/>
      <c r="E6" s="120"/>
      <c r="F6" s="5" t="s">
        <v>127</v>
      </c>
    </row>
    <row r="7" spans="1:6">
      <c r="A7" s="6" t="s">
        <v>4</v>
      </c>
      <c r="B7" s="6" t="s">
        <v>5</v>
      </c>
      <c r="C7" s="6" t="s">
        <v>6</v>
      </c>
      <c r="D7" s="6" t="s">
        <v>4</v>
      </c>
      <c r="E7" s="6" t="s">
        <v>7</v>
      </c>
      <c r="F7" s="6" t="s">
        <v>6</v>
      </c>
    </row>
    <row r="8" spans="1:6">
      <c r="A8" s="7">
        <v>1</v>
      </c>
      <c r="B8" s="7" t="s">
        <v>8</v>
      </c>
      <c r="C8" s="6">
        <v>11519</v>
      </c>
      <c r="D8" s="7">
        <v>1</v>
      </c>
      <c r="E8" s="7" t="s">
        <v>23</v>
      </c>
      <c r="F8" s="16">
        <v>600</v>
      </c>
    </row>
    <row r="9" spans="1:6">
      <c r="A9" s="7">
        <v>2</v>
      </c>
      <c r="B9" s="7" t="s">
        <v>13</v>
      </c>
      <c r="C9" s="14">
        <f>500+500+500+500+500+500+250</f>
        <v>3250</v>
      </c>
      <c r="D9" s="7">
        <v>2</v>
      </c>
      <c r="E9" s="25" t="s">
        <v>128</v>
      </c>
      <c r="F9" s="17">
        <v>1000</v>
      </c>
    </row>
    <row r="10" spans="1:6">
      <c r="A10" s="7">
        <v>3</v>
      </c>
      <c r="B10" s="7" t="s">
        <v>87</v>
      </c>
      <c r="C10" s="14">
        <f>120+120</f>
        <v>240</v>
      </c>
      <c r="D10" s="7">
        <v>3</v>
      </c>
      <c r="E10" s="7"/>
      <c r="F10" s="17"/>
    </row>
    <row r="11" spans="1:6">
      <c r="A11" s="7">
        <v>4</v>
      </c>
      <c r="B11" s="7" t="s">
        <v>95</v>
      </c>
      <c r="C11" s="14"/>
      <c r="D11" s="7">
        <v>4</v>
      </c>
      <c r="E11" s="7"/>
      <c r="F11" s="17"/>
    </row>
    <row r="12" spans="1:6">
      <c r="A12" s="7">
        <v>5</v>
      </c>
      <c r="B12" s="7" t="s">
        <v>21</v>
      </c>
      <c r="C12" s="14"/>
      <c r="D12" s="7">
        <v>5</v>
      </c>
      <c r="E12" s="7"/>
      <c r="F12" s="17"/>
    </row>
    <row r="13" spans="1:6">
      <c r="A13" s="7">
        <v>6</v>
      </c>
      <c r="B13" s="7" t="s">
        <v>31</v>
      </c>
      <c r="C13" s="14">
        <f>300</f>
        <v>300</v>
      </c>
      <c r="D13" s="7">
        <v>6</v>
      </c>
      <c r="E13" s="7"/>
      <c r="F13" s="17"/>
    </row>
    <row r="14" spans="1:6">
      <c r="A14" s="7">
        <v>7</v>
      </c>
      <c r="B14" s="7" t="s">
        <v>22</v>
      </c>
      <c r="C14" s="14">
        <f>30</f>
        <v>30</v>
      </c>
      <c r="D14" s="7">
        <v>7</v>
      </c>
      <c r="E14" s="7"/>
      <c r="F14" s="17"/>
    </row>
    <row r="15" spans="1:6">
      <c r="A15" s="7">
        <v>8</v>
      </c>
      <c r="B15" s="7" t="s">
        <v>26</v>
      </c>
      <c r="C15" s="14"/>
      <c r="D15" s="7">
        <v>8</v>
      </c>
      <c r="E15" s="7"/>
      <c r="F15" s="17"/>
    </row>
    <row r="16" spans="1:6">
      <c r="A16" s="7">
        <v>9</v>
      </c>
      <c r="B16" s="7" t="s">
        <v>37</v>
      </c>
      <c r="C16" s="14"/>
      <c r="D16" s="7">
        <v>9</v>
      </c>
      <c r="E16" s="7"/>
      <c r="F16" s="17"/>
    </row>
    <row r="17" spans="1:6">
      <c r="A17" s="7">
        <v>10</v>
      </c>
      <c r="B17" s="25" t="s">
        <v>111</v>
      </c>
      <c r="C17" s="14"/>
      <c r="D17" s="7">
        <v>10</v>
      </c>
      <c r="E17" s="7"/>
      <c r="F17" s="17"/>
    </row>
    <row r="18" spans="1:6">
      <c r="A18" s="7">
        <v>11</v>
      </c>
      <c r="B18" s="7" t="s">
        <v>67</v>
      </c>
      <c r="C18" s="14"/>
      <c r="D18" s="7">
        <v>11</v>
      </c>
      <c r="E18" s="7"/>
      <c r="F18" s="17"/>
    </row>
    <row r="19" spans="1:6">
      <c r="A19" s="7">
        <v>12</v>
      </c>
      <c r="B19" s="2" t="s">
        <v>112</v>
      </c>
      <c r="C19" s="15"/>
      <c r="D19" s="7">
        <v>12</v>
      </c>
      <c r="E19" s="2"/>
      <c r="F19" s="18"/>
    </row>
    <row r="20" spans="1:6">
      <c r="A20" s="7"/>
      <c r="B20" s="25"/>
      <c r="C20" s="15"/>
      <c r="D20" s="7">
        <v>13</v>
      </c>
      <c r="E20" s="2"/>
      <c r="F20" s="18"/>
    </row>
    <row r="21" spans="1:6">
      <c r="A21" s="7"/>
      <c r="B21" s="25"/>
      <c r="C21" s="15"/>
      <c r="D21" s="7">
        <v>14</v>
      </c>
      <c r="E21" s="2"/>
      <c r="F21" s="18"/>
    </row>
    <row r="22" spans="1:6">
      <c r="A22" s="7"/>
      <c r="B22" s="53"/>
      <c r="C22" s="15"/>
      <c r="D22" s="7">
        <v>15</v>
      </c>
      <c r="E22" s="2"/>
      <c r="F22" s="18"/>
    </row>
    <row r="23" spans="1:6">
      <c r="A23" s="79" t="s">
        <v>9</v>
      </c>
      <c r="B23" s="80"/>
      <c r="C23" s="3">
        <f>SUM(C8:C22)</f>
        <v>15339</v>
      </c>
      <c r="D23" s="12"/>
      <c r="E23" s="13" t="s">
        <v>15</v>
      </c>
      <c r="F23" s="19">
        <f>SUM(F8:F21)</f>
        <v>1600</v>
      </c>
    </row>
    <row r="24" spans="1:6">
      <c r="A24" s="8"/>
      <c r="B24" s="9"/>
      <c r="C24" s="10"/>
      <c r="D24" s="11"/>
    </row>
    <row r="25" spans="1:6">
      <c r="A25" s="96" t="s">
        <v>11</v>
      </c>
      <c r="B25" s="96"/>
      <c r="C25" s="96"/>
      <c r="D25" s="96"/>
      <c r="E25" s="97">
        <f>C23-F23</f>
        <v>13739</v>
      </c>
      <c r="F25" s="98"/>
    </row>
    <row r="26" spans="1:6">
      <c r="A26" s="96" t="s">
        <v>10</v>
      </c>
      <c r="B26" s="96"/>
      <c r="C26" s="103"/>
      <c r="D26" s="104"/>
      <c r="E26" s="104"/>
      <c r="F26" s="105"/>
    </row>
    <row r="27" spans="1:6">
      <c r="A27" s="102" t="s">
        <v>12</v>
      </c>
      <c r="B27" s="102"/>
      <c r="C27" s="102"/>
      <c r="D27" s="102"/>
      <c r="E27" s="102"/>
      <c r="F27" s="102"/>
    </row>
    <row r="28" spans="1:6">
      <c r="A28" s="102"/>
      <c r="B28" s="102"/>
      <c r="C28" s="102"/>
      <c r="D28" s="102"/>
      <c r="E28" s="102"/>
      <c r="F28" s="102"/>
    </row>
    <row r="29" spans="1:6">
      <c r="A29" s="102"/>
      <c r="B29" s="102"/>
      <c r="C29" s="102"/>
      <c r="D29" s="102"/>
      <c r="E29" s="102"/>
      <c r="F29" s="102"/>
    </row>
    <row r="30" spans="1:6">
      <c r="A30" s="102"/>
      <c r="B30" s="102"/>
      <c r="C30" s="102"/>
      <c r="D30" s="102"/>
      <c r="E30" s="102"/>
      <c r="F30" s="102"/>
    </row>
    <row r="33" spans="2:6">
      <c r="B33" s="20" t="s">
        <v>19</v>
      </c>
      <c r="C33" s="20" t="s">
        <v>20</v>
      </c>
      <c r="D33" s="20"/>
      <c r="E33" s="20" t="s">
        <v>16</v>
      </c>
      <c r="F33" s="1">
        <f>3820-1600</f>
        <v>2220</v>
      </c>
    </row>
    <row r="34" spans="2:6">
      <c r="B34" s="63">
        <v>1000</v>
      </c>
      <c r="C34" s="63"/>
      <c r="D34" s="21"/>
      <c r="E34" s="63">
        <f>B34*C34</f>
        <v>0</v>
      </c>
    </row>
    <row r="35" spans="2:6">
      <c r="B35" s="63">
        <v>500</v>
      </c>
      <c r="C35" s="63">
        <v>4</v>
      </c>
      <c r="D35" s="21"/>
      <c r="E35" s="63">
        <f t="shared" ref="E35:E42" si="0">B35*C35</f>
        <v>2000</v>
      </c>
    </row>
    <row r="36" spans="2:6">
      <c r="B36" s="63">
        <v>100</v>
      </c>
      <c r="C36" s="63">
        <v>2</v>
      </c>
      <c r="D36" s="21"/>
      <c r="E36" s="63">
        <f t="shared" si="0"/>
        <v>200</v>
      </c>
    </row>
    <row r="37" spans="2:6">
      <c r="B37" s="63">
        <v>50</v>
      </c>
      <c r="C37" s="63"/>
      <c r="D37" s="21"/>
      <c r="E37" s="63">
        <f t="shared" si="0"/>
        <v>0</v>
      </c>
    </row>
    <row r="38" spans="2:6">
      <c r="B38" s="63">
        <v>20</v>
      </c>
      <c r="C38" s="63">
        <v>1</v>
      </c>
      <c r="D38" s="21"/>
      <c r="E38" s="63">
        <f t="shared" si="0"/>
        <v>20</v>
      </c>
    </row>
    <row r="39" spans="2:6">
      <c r="B39" s="63">
        <v>10</v>
      </c>
      <c r="C39" s="63"/>
      <c r="D39" s="21"/>
      <c r="E39" s="63">
        <f t="shared" si="0"/>
        <v>0</v>
      </c>
    </row>
    <row r="40" spans="2:6">
      <c r="B40" s="63">
        <v>5</v>
      </c>
      <c r="C40" s="50"/>
      <c r="D40" s="21"/>
      <c r="E40" s="63">
        <f t="shared" si="0"/>
        <v>0</v>
      </c>
    </row>
    <row r="41" spans="2:6">
      <c r="B41" s="63">
        <v>2</v>
      </c>
      <c r="C41" s="63"/>
      <c r="D41" s="21"/>
      <c r="E41" s="63">
        <f t="shared" si="0"/>
        <v>0</v>
      </c>
    </row>
    <row r="42" spans="2:6">
      <c r="B42" s="63">
        <v>1</v>
      </c>
      <c r="C42" s="63"/>
      <c r="D42" s="21"/>
      <c r="E42" s="63">
        <f t="shared" si="0"/>
        <v>0</v>
      </c>
    </row>
    <row r="43" spans="2:6">
      <c r="B43" s="62" t="s">
        <v>17</v>
      </c>
      <c r="C43" s="63">
        <f>SUM(C34:C42)</f>
        <v>7</v>
      </c>
      <c r="D43" s="21"/>
      <c r="E43" s="20">
        <f>SUM(E34:E42)</f>
        <v>2220</v>
      </c>
    </row>
    <row r="44" spans="2:6">
      <c r="B44" s="21"/>
      <c r="C44" s="21"/>
      <c r="D44" s="21"/>
      <c r="E44" s="21"/>
    </row>
    <row r="46" spans="2:6">
      <c r="B46" s="1" t="s">
        <v>29</v>
      </c>
      <c r="E46" s="22"/>
    </row>
  </sheetData>
  <mergeCells count="11">
    <mergeCell ref="A25:D25"/>
    <mergeCell ref="E25:F25"/>
    <mergeCell ref="A26:B26"/>
    <mergeCell ref="C26:F26"/>
    <mergeCell ref="A27:F30"/>
    <mergeCell ref="A23:B23"/>
    <mergeCell ref="A1:F1"/>
    <mergeCell ref="A2:F2"/>
    <mergeCell ref="A3:F3"/>
    <mergeCell ref="B4:F4"/>
    <mergeCell ref="A5:E6"/>
  </mergeCells>
  <pageMargins left="1" right="1" top="0.5" bottom="0.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>
      <selection activeCell="C40" sqref="C40"/>
    </sheetView>
  </sheetViews>
  <sheetFormatPr defaultRowHeight="15"/>
  <cols>
    <col min="1" max="1" width="2.42578125" style="1" customWidth="1"/>
    <col min="2" max="2" width="24.85546875" style="1" customWidth="1"/>
    <col min="3" max="3" width="10.85546875" style="1" customWidth="1"/>
    <col min="4" max="4" width="2.85546875" style="1" customWidth="1"/>
    <col min="5" max="5" width="26.85546875" style="1" customWidth="1"/>
    <col min="6" max="6" width="14.5703125" style="1" customWidth="1"/>
    <col min="7" max="16384" width="9.140625" style="1"/>
  </cols>
  <sheetData>
    <row r="1" spans="1:6" ht="15.75">
      <c r="A1" s="106" t="s">
        <v>0</v>
      </c>
      <c r="B1" s="107"/>
      <c r="C1" s="107"/>
      <c r="D1" s="107"/>
      <c r="E1" s="107"/>
      <c r="F1" s="108"/>
    </row>
    <row r="2" spans="1:6">
      <c r="A2" s="109" t="s">
        <v>1</v>
      </c>
      <c r="B2" s="110"/>
      <c r="C2" s="110"/>
      <c r="D2" s="110"/>
      <c r="E2" s="110"/>
      <c r="F2" s="111"/>
    </row>
    <row r="3" spans="1:6">
      <c r="A3" s="112" t="s">
        <v>2</v>
      </c>
      <c r="B3" s="113"/>
      <c r="C3" s="113"/>
      <c r="D3" s="113"/>
      <c r="E3" s="113"/>
      <c r="F3" s="114"/>
    </row>
    <row r="4" spans="1:6">
      <c r="A4" s="28"/>
      <c r="B4" s="115" t="s">
        <v>28</v>
      </c>
      <c r="C4" s="115"/>
      <c r="D4" s="115"/>
      <c r="E4" s="115"/>
      <c r="F4" s="116"/>
    </row>
    <row r="5" spans="1:6">
      <c r="A5" s="117" t="s">
        <v>3</v>
      </c>
      <c r="B5" s="118"/>
      <c r="C5" s="118"/>
      <c r="D5" s="118"/>
      <c r="E5" s="118"/>
      <c r="F5" s="4" t="s">
        <v>14</v>
      </c>
    </row>
    <row r="6" spans="1:6">
      <c r="A6" s="119"/>
      <c r="B6" s="120"/>
      <c r="C6" s="120"/>
      <c r="D6" s="120"/>
      <c r="E6" s="120"/>
      <c r="F6" s="5" t="s">
        <v>122</v>
      </c>
    </row>
    <row r="7" spans="1:6">
      <c r="A7" s="6" t="s">
        <v>4</v>
      </c>
      <c r="B7" s="6" t="s">
        <v>5</v>
      </c>
      <c r="C7" s="6" t="s">
        <v>6</v>
      </c>
      <c r="D7" s="6" t="s">
        <v>4</v>
      </c>
      <c r="E7" s="6" t="s">
        <v>7</v>
      </c>
      <c r="F7" s="6" t="s">
        <v>6</v>
      </c>
    </row>
    <row r="8" spans="1:6">
      <c r="A8" s="7">
        <v>1</v>
      </c>
      <c r="B8" s="7" t="s">
        <v>8</v>
      </c>
      <c r="C8" s="6">
        <v>11468</v>
      </c>
      <c r="D8" s="7">
        <v>1</v>
      </c>
      <c r="E8" s="7" t="s">
        <v>23</v>
      </c>
      <c r="F8" s="16">
        <v>560</v>
      </c>
    </row>
    <row r="9" spans="1:6">
      <c r="A9" s="7">
        <v>2</v>
      </c>
      <c r="B9" s="7" t="s">
        <v>13</v>
      </c>
      <c r="C9" s="14">
        <v>2000</v>
      </c>
      <c r="D9" s="7">
        <v>2</v>
      </c>
      <c r="E9" s="25" t="s">
        <v>113</v>
      </c>
      <c r="F9" s="17"/>
    </row>
    <row r="10" spans="1:6">
      <c r="A10" s="7">
        <v>3</v>
      </c>
      <c r="B10" s="7" t="s">
        <v>87</v>
      </c>
      <c r="C10" s="14">
        <v>50</v>
      </c>
      <c r="D10" s="7">
        <v>3</v>
      </c>
      <c r="E10" s="7" t="s">
        <v>114</v>
      </c>
      <c r="F10" s="17"/>
    </row>
    <row r="11" spans="1:6">
      <c r="A11" s="7">
        <v>4</v>
      </c>
      <c r="B11" s="7" t="s">
        <v>95</v>
      </c>
      <c r="C11" s="14"/>
      <c r="D11" s="7">
        <v>4</v>
      </c>
      <c r="E11" s="7" t="s">
        <v>116</v>
      </c>
      <c r="F11" s="17"/>
    </row>
    <row r="12" spans="1:6">
      <c r="A12" s="7">
        <v>5</v>
      </c>
      <c r="B12" s="7" t="s">
        <v>21</v>
      </c>
      <c r="C12" s="14"/>
      <c r="D12" s="7">
        <v>5</v>
      </c>
      <c r="E12" s="7" t="s">
        <v>126</v>
      </c>
      <c r="F12" s="17">
        <v>200</v>
      </c>
    </row>
    <row r="13" spans="1:6">
      <c r="A13" s="7">
        <v>6</v>
      </c>
      <c r="B13" s="7" t="s">
        <v>31</v>
      </c>
      <c r="C13" s="14">
        <v>450</v>
      </c>
      <c r="D13" s="7">
        <v>6</v>
      </c>
      <c r="E13" s="7" t="s">
        <v>117</v>
      </c>
      <c r="F13" s="17"/>
    </row>
    <row r="14" spans="1:6">
      <c r="A14" s="7">
        <v>7</v>
      </c>
      <c r="B14" s="7" t="s">
        <v>22</v>
      </c>
      <c r="C14" s="14">
        <v>175</v>
      </c>
      <c r="D14" s="7">
        <v>7</v>
      </c>
      <c r="E14" s="7" t="s">
        <v>125</v>
      </c>
      <c r="F14" s="17">
        <v>1500</v>
      </c>
    </row>
    <row r="15" spans="1:6">
      <c r="A15" s="7">
        <v>8</v>
      </c>
      <c r="B15" s="7" t="s">
        <v>26</v>
      </c>
      <c r="C15" s="14">
        <v>100</v>
      </c>
      <c r="D15" s="7">
        <v>8</v>
      </c>
      <c r="E15" s="7" t="s">
        <v>124</v>
      </c>
      <c r="F15" s="17">
        <v>24</v>
      </c>
    </row>
    <row r="16" spans="1:6">
      <c r="A16" s="7">
        <v>9</v>
      </c>
      <c r="B16" s="7" t="s">
        <v>37</v>
      </c>
      <c r="C16" s="14">
        <v>20</v>
      </c>
      <c r="D16" s="7">
        <v>9</v>
      </c>
      <c r="E16" s="7" t="s">
        <v>123</v>
      </c>
      <c r="F16" s="17">
        <v>460</v>
      </c>
    </row>
    <row r="17" spans="1:6">
      <c r="A17" s="7">
        <v>10</v>
      </c>
      <c r="B17" s="25" t="s">
        <v>111</v>
      </c>
      <c r="C17" s="14"/>
      <c r="D17" s="7">
        <v>10</v>
      </c>
      <c r="E17" s="7" t="s">
        <v>121</v>
      </c>
      <c r="F17" s="17"/>
    </row>
    <row r="18" spans="1:6">
      <c r="A18" s="7">
        <v>11</v>
      </c>
      <c r="B18" s="7" t="s">
        <v>67</v>
      </c>
      <c r="C18" s="14"/>
      <c r="D18" s="7">
        <v>11</v>
      </c>
      <c r="E18" s="7"/>
      <c r="F18" s="17"/>
    </row>
    <row r="19" spans="1:6">
      <c r="A19" s="7">
        <v>12</v>
      </c>
      <c r="B19" s="2" t="s">
        <v>112</v>
      </c>
      <c r="C19" s="15"/>
      <c r="D19" s="7">
        <v>12</v>
      </c>
      <c r="E19" s="2"/>
      <c r="F19" s="18"/>
    </row>
    <row r="20" spans="1:6">
      <c r="A20" s="7"/>
      <c r="B20" s="25"/>
      <c r="C20" s="15"/>
      <c r="D20" s="7">
        <v>13</v>
      </c>
      <c r="E20" s="2"/>
      <c r="F20" s="18"/>
    </row>
    <row r="21" spans="1:6">
      <c r="A21" s="7"/>
      <c r="B21" s="25"/>
      <c r="C21" s="15"/>
      <c r="D21" s="7">
        <v>14</v>
      </c>
      <c r="E21" s="2"/>
      <c r="F21" s="18"/>
    </row>
    <row r="22" spans="1:6">
      <c r="A22" s="7"/>
      <c r="B22" s="53"/>
      <c r="C22" s="15"/>
      <c r="D22" s="7">
        <v>15</v>
      </c>
      <c r="E22" s="2"/>
      <c r="F22" s="18"/>
    </row>
    <row r="23" spans="1:6">
      <c r="A23" s="79" t="s">
        <v>9</v>
      </c>
      <c r="B23" s="80"/>
      <c r="C23" s="3">
        <f>SUM(C8:C22)</f>
        <v>14263</v>
      </c>
      <c r="D23" s="12"/>
      <c r="E23" s="13" t="s">
        <v>15</v>
      </c>
      <c r="F23" s="19">
        <f>SUM(F8:F21)</f>
        <v>2744</v>
      </c>
    </row>
    <row r="24" spans="1:6">
      <c r="A24" s="8"/>
      <c r="B24" s="9"/>
      <c r="C24" s="10"/>
      <c r="D24" s="11"/>
    </row>
    <row r="25" spans="1:6">
      <c r="A25" s="96" t="s">
        <v>11</v>
      </c>
      <c r="B25" s="96"/>
      <c r="C25" s="96"/>
      <c r="D25" s="96"/>
      <c r="E25" s="97">
        <f>C23-F23</f>
        <v>11519</v>
      </c>
      <c r="F25" s="98"/>
    </row>
    <row r="26" spans="1:6">
      <c r="A26" s="96" t="s">
        <v>10</v>
      </c>
      <c r="B26" s="96"/>
      <c r="C26" s="103"/>
      <c r="D26" s="104"/>
      <c r="E26" s="104"/>
      <c r="F26" s="105"/>
    </row>
    <row r="27" spans="1:6">
      <c r="A27" s="102" t="s">
        <v>12</v>
      </c>
      <c r="B27" s="102"/>
      <c r="C27" s="102"/>
      <c r="D27" s="102"/>
      <c r="E27" s="102"/>
      <c r="F27" s="102"/>
    </row>
    <row r="28" spans="1:6">
      <c r="A28" s="102"/>
      <c r="B28" s="102"/>
      <c r="C28" s="102"/>
      <c r="D28" s="102"/>
      <c r="E28" s="102"/>
      <c r="F28" s="102"/>
    </row>
    <row r="29" spans="1:6">
      <c r="A29" s="102"/>
      <c r="B29" s="102"/>
      <c r="C29" s="102"/>
      <c r="D29" s="102"/>
      <c r="E29" s="102"/>
      <c r="F29" s="102"/>
    </row>
    <row r="30" spans="1:6">
      <c r="A30" s="102"/>
      <c r="B30" s="102"/>
      <c r="C30" s="102"/>
      <c r="D30" s="102"/>
      <c r="E30" s="102"/>
      <c r="F30" s="102"/>
    </row>
    <row r="33" spans="2:5">
      <c r="B33" s="20" t="s">
        <v>19</v>
      </c>
      <c r="C33" s="20" t="s">
        <v>20</v>
      </c>
      <c r="D33" s="20"/>
      <c r="E33" s="20" t="s">
        <v>16</v>
      </c>
    </row>
    <row r="34" spans="2:5">
      <c r="B34" s="61">
        <v>1000</v>
      </c>
      <c r="C34" s="61"/>
      <c r="D34" s="21"/>
      <c r="E34" s="61">
        <f>B34*C34</f>
        <v>0</v>
      </c>
    </row>
    <row r="35" spans="2:5">
      <c r="B35" s="61">
        <v>500</v>
      </c>
      <c r="C35" s="61"/>
      <c r="D35" s="21"/>
      <c r="E35" s="61">
        <f t="shared" ref="E35:E42" si="0">B35*C35</f>
        <v>0</v>
      </c>
    </row>
    <row r="36" spans="2:5">
      <c r="B36" s="61">
        <v>100</v>
      </c>
      <c r="C36" s="61"/>
      <c r="D36" s="21"/>
      <c r="E36" s="61">
        <f t="shared" si="0"/>
        <v>0</v>
      </c>
    </row>
    <row r="37" spans="2:5">
      <c r="B37" s="61">
        <v>50</v>
      </c>
      <c r="C37" s="61"/>
      <c r="D37" s="21"/>
      <c r="E37" s="61">
        <f t="shared" si="0"/>
        <v>0</v>
      </c>
    </row>
    <row r="38" spans="2:5">
      <c r="B38" s="61">
        <v>20</v>
      </c>
      <c r="C38" s="61">
        <v>1</v>
      </c>
      <c r="D38" s="21"/>
      <c r="E38" s="61">
        <f t="shared" si="0"/>
        <v>20</v>
      </c>
    </row>
    <row r="39" spans="2:5">
      <c r="B39" s="61">
        <v>10</v>
      </c>
      <c r="C39" s="61">
        <v>3</v>
      </c>
      <c r="D39" s="21"/>
      <c r="E39" s="61">
        <f t="shared" si="0"/>
        <v>30</v>
      </c>
    </row>
    <row r="40" spans="2:5">
      <c r="B40" s="61">
        <v>5</v>
      </c>
      <c r="C40" s="50"/>
      <c r="D40" s="21"/>
      <c r="E40" s="61">
        <f t="shared" si="0"/>
        <v>0</v>
      </c>
    </row>
    <row r="41" spans="2:5">
      <c r="B41" s="61">
        <v>2</v>
      </c>
      <c r="C41" s="61"/>
      <c r="D41" s="21"/>
      <c r="E41" s="61">
        <f t="shared" si="0"/>
        <v>0</v>
      </c>
    </row>
    <row r="42" spans="2:5">
      <c r="B42" s="61">
        <v>1</v>
      </c>
      <c r="C42" s="61">
        <v>1</v>
      </c>
      <c r="D42" s="21"/>
      <c r="E42" s="61">
        <f t="shared" si="0"/>
        <v>1</v>
      </c>
    </row>
    <row r="43" spans="2:5">
      <c r="B43" s="60" t="s">
        <v>17</v>
      </c>
      <c r="C43" s="61">
        <f>SUM(C34:C42)</f>
        <v>5</v>
      </c>
      <c r="D43" s="21"/>
      <c r="E43" s="20">
        <f>SUM(E34:E42)</f>
        <v>51</v>
      </c>
    </row>
    <row r="44" spans="2:5">
      <c r="B44" s="21"/>
      <c r="C44" s="21"/>
      <c r="D44" s="21"/>
      <c r="E44" s="21"/>
    </row>
    <row r="46" spans="2:5">
      <c r="B46" s="1" t="s">
        <v>29</v>
      </c>
      <c r="E46" s="22"/>
    </row>
  </sheetData>
  <mergeCells count="11">
    <mergeCell ref="A23:B23"/>
    <mergeCell ref="A1:F1"/>
    <mergeCell ref="A2:F2"/>
    <mergeCell ref="A3:F3"/>
    <mergeCell ref="B4:F4"/>
    <mergeCell ref="A5:E6"/>
    <mergeCell ref="A25:D25"/>
    <mergeCell ref="E25:F25"/>
    <mergeCell ref="A26:B26"/>
    <mergeCell ref="C26:F26"/>
    <mergeCell ref="A27:F30"/>
  </mergeCells>
  <pageMargins left="1" right="1" top="0.5" bottom="0.5" header="0.5" footer="0.5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6"/>
  <sheetViews>
    <sheetView workbookViewId="0">
      <selection activeCell="E20" sqref="E20"/>
    </sheetView>
  </sheetViews>
  <sheetFormatPr defaultRowHeight="15"/>
  <cols>
    <col min="1" max="1" width="2.42578125" style="1" customWidth="1"/>
    <col min="2" max="2" width="24.85546875" style="1" customWidth="1"/>
    <col min="3" max="3" width="10.85546875" style="1" customWidth="1"/>
    <col min="4" max="4" width="2.85546875" style="1" customWidth="1"/>
    <col min="5" max="5" width="26.85546875" style="1" customWidth="1"/>
    <col min="6" max="6" width="14.5703125" style="1" customWidth="1"/>
    <col min="7" max="16384" width="9.140625" style="1"/>
  </cols>
  <sheetData>
    <row r="1" spans="1:6" ht="15.75">
      <c r="A1" s="106" t="s">
        <v>0</v>
      </c>
      <c r="B1" s="107"/>
      <c r="C1" s="107"/>
      <c r="D1" s="107"/>
      <c r="E1" s="107"/>
      <c r="F1" s="108"/>
    </row>
    <row r="2" spans="1:6">
      <c r="A2" s="109" t="s">
        <v>1</v>
      </c>
      <c r="B2" s="110"/>
      <c r="C2" s="110"/>
      <c r="D2" s="110"/>
      <c r="E2" s="110"/>
      <c r="F2" s="111"/>
    </row>
    <row r="3" spans="1:6">
      <c r="A3" s="112" t="s">
        <v>2</v>
      </c>
      <c r="B3" s="113"/>
      <c r="C3" s="113"/>
      <c r="D3" s="113"/>
      <c r="E3" s="113"/>
      <c r="F3" s="114"/>
    </row>
    <row r="4" spans="1:6">
      <c r="A4" s="28"/>
      <c r="B4" s="115" t="s">
        <v>28</v>
      </c>
      <c r="C4" s="115"/>
      <c r="D4" s="115"/>
      <c r="E4" s="115"/>
      <c r="F4" s="116"/>
    </row>
    <row r="5" spans="1:6">
      <c r="A5" s="117" t="s">
        <v>3</v>
      </c>
      <c r="B5" s="118"/>
      <c r="C5" s="118"/>
      <c r="D5" s="118"/>
      <c r="E5" s="118"/>
      <c r="F5" s="4" t="s">
        <v>14</v>
      </c>
    </row>
    <row r="6" spans="1:6">
      <c r="A6" s="119"/>
      <c r="B6" s="120"/>
      <c r="C6" s="120"/>
      <c r="D6" s="120"/>
      <c r="E6" s="120"/>
      <c r="F6" s="5" t="s">
        <v>110</v>
      </c>
    </row>
    <row r="7" spans="1:6">
      <c r="A7" s="6" t="s">
        <v>4</v>
      </c>
      <c r="B7" s="6" t="s">
        <v>5</v>
      </c>
      <c r="C7" s="6" t="s">
        <v>6</v>
      </c>
      <c r="D7" s="6" t="s">
        <v>4</v>
      </c>
      <c r="E7" s="6" t="s">
        <v>7</v>
      </c>
      <c r="F7" s="6" t="s">
        <v>6</v>
      </c>
    </row>
    <row r="8" spans="1:6">
      <c r="A8" s="7">
        <v>1</v>
      </c>
      <c r="B8" s="7" t="s">
        <v>8</v>
      </c>
      <c r="C8" s="6">
        <v>40146</v>
      </c>
      <c r="D8" s="7">
        <v>1</v>
      </c>
      <c r="E8" s="7" t="s">
        <v>23</v>
      </c>
      <c r="F8" s="16">
        <v>590</v>
      </c>
    </row>
    <row r="9" spans="1:6">
      <c r="A9" s="7">
        <v>2</v>
      </c>
      <c r="B9" s="7" t="s">
        <v>13</v>
      </c>
      <c r="C9" s="14">
        <v>2200</v>
      </c>
      <c r="D9" s="7">
        <v>2</v>
      </c>
      <c r="E9" s="25" t="s">
        <v>113</v>
      </c>
      <c r="F9" s="17">
        <v>290</v>
      </c>
    </row>
    <row r="10" spans="1:6">
      <c r="A10" s="7">
        <v>3</v>
      </c>
      <c r="B10" s="7" t="s">
        <v>87</v>
      </c>
      <c r="C10" s="14">
        <v>40</v>
      </c>
      <c r="D10" s="7">
        <v>3</v>
      </c>
      <c r="E10" s="7" t="s">
        <v>114</v>
      </c>
      <c r="F10" s="17">
        <v>5140</v>
      </c>
    </row>
    <row r="11" spans="1:6">
      <c r="A11" s="7">
        <v>4</v>
      </c>
      <c r="B11" s="7" t="s">
        <v>95</v>
      </c>
      <c r="C11" s="14"/>
      <c r="D11" s="7">
        <v>4</v>
      </c>
      <c r="E11" s="7" t="s">
        <v>116</v>
      </c>
      <c r="F11" s="17">
        <v>40000</v>
      </c>
    </row>
    <row r="12" spans="1:6">
      <c r="A12" s="7">
        <v>5</v>
      </c>
      <c r="B12" s="7" t="s">
        <v>21</v>
      </c>
      <c r="C12" s="14"/>
      <c r="D12" s="7">
        <v>5</v>
      </c>
      <c r="E12" s="7" t="s">
        <v>115</v>
      </c>
      <c r="F12" s="17">
        <v>190</v>
      </c>
    </row>
    <row r="13" spans="1:6">
      <c r="A13" s="7">
        <v>6</v>
      </c>
      <c r="B13" s="7" t="s">
        <v>31</v>
      </c>
      <c r="C13" s="14"/>
      <c r="D13" s="7">
        <v>6</v>
      </c>
      <c r="E13" s="7" t="s">
        <v>117</v>
      </c>
      <c r="F13" s="17">
        <v>240</v>
      </c>
    </row>
    <row r="14" spans="1:6">
      <c r="A14" s="7">
        <v>7</v>
      </c>
      <c r="B14" s="7" t="s">
        <v>22</v>
      </c>
      <c r="C14" s="14">
        <v>285</v>
      </c>
      <c r="D14" s="7">
        <v>7</v>
      </c>
      <c r="E14" s="7" t="s">
        <v>118</v>
      </c>
      <c r="F14" s="17">
        <v>60</v>
      </c>
    </row>
    <row r="15" spans="1:6">
      <c r="A15" s="7">
        <v>8</v>
      </c>
      <c r="B15" s="7" t="s">
        <v>26</v>
      </c>
      <c r="C15" s="14"/>
      <c r="D15" s="7">
        <v>8</v>
      </c>
      <c r="E15" s="7" t="s">
        <v>119</v>
      </c>
      <c r="F15" s="17">
        <v>600</v>
      </c>
    </row>
    <row r="16" spans="1:6">
      <c r="A16" s="7">
        <v>9</v>
      </c>
      <c r="B16" s="7" t="s">
        <v>37</v>
      </c>
      <c r="C16" s="14"/>
      <c r="D16" s="7">
        <v>9</v>
      </c>
      <c r="E16" s="7" t="s">
        <v>120</v>
      </c>
      <c r="F16" s="17">
        <v>840</v>
      </c>
    </row>
    <row r="17" spans="1:6">
      <c r="A17" s="7">
        <v>10</v>
      </c>
      <c r="B17" s="25" t="s">
        <v>111</v>
      </c>
      <c r="C17" s="14">
        <v>16800</v>
      </c>
      <c r="D17" s="7">
        <v>10</v>
      </c>
      <c r="E17" s="7" t="s">
        <v>121</v>
      </c>
      <c r="F17" s="17">
        <v>100</v>
      </c>
    </row>
    <row r="18" spans="1:6">
      <c r="A18" s="7">
        <v>11</v>
      </c>
      <c r="B18" s="7" t="s">
        <v>67</v>
      </c>
      <c r="C18" s="14"/>
      <c r="D18" s="7">
        <v>11</v>
      </c>
      <c r="E18" s="7"/>
      <c r="F18" s="17"/>
    </row>
    <row r="19" spans="1:6">
      <c r="A19" s="7">
        <v>12</v>
      </c>
      <c r="B19" s="2" t="s">
        <v>112</v>
      </c>
      <c r="C19" s="15">
        <v>47</v>
      </c>
      <c r="D19" s="7">
        <v>12</v>
      </c>
      <c r="E19" s="2"/>
      <c r="F19" s="18"/>
    </row>
    <row r="20" spans="1:6">
      <c r="A20" s="7"/>
      <c r="B20" s="25"/>
      <c r="C20" s="15"/>
      <c r="D20" s="7">
        <v>13</v>
      </c>
      <c r="E20" s="2"/>
      <c r="F20" s="18"/>
    </row>
    <row r="21" spans="1:6">
      <c r="A21" s="7"/>
      <c r="B21" s="25"/>
      <c r="C21" s="15"/>
      <c r="D21" s="7">
        <v>14</v>
      </c>
      <c r="E21" s="2"/>
      <c r="F21" s="18"/>
    </row>
    <row r="22" spans="1:6">
      <c r="A22" s="7"/>
      <c r="B22" s="53"/>
      <c r="C22" s="15"/>
      <c r="D22" s="7">
        <v>15</v>
      </c>
      <c r="E22" s="2"/>
      <c r="F22" s="18"/>
    </row>
    <row r="23" spans="1:6">
      <c r="A23" s="79" t="s">
        <v>9</v>
      </c>
      <c r="B23" s="80"/>
      <c r="C23" s="3">
        <f>SUM(C8:C22)</f>
        <v>59518</v>
      </c>
      <c r="D23" s="12"/>
      <c r="E23" s="13" t="s">
        <v>15</v>
      </c>
      <c r="F23" s="19">
        <f>SUM(F8:F21)</f>
        <v>48050</v>
      </c>
    </row>
    <row r="24" spans="1:6">
      <c r="A24" s="8"/>
      <c r="B24" s="9"/>
      <c r="C24" s="10"/>
      <c r="D24" s="11"/>
    </row>
    <row r="25" spans="1:6">
      <c r="A25" s="96" t="s">
        <v>11</v>
      </c>
      <c r="B25" s="96"/>
      <c r="C25" s="96"/>
      <c r="D25" s="96"/>
      <c r="E25" s="97">
        <f>C23-F23</f>
        <v>11468</v>
      </c>
      <c r="F25" s="98"/>
    </row>
    <row r="26" spans="1:6">
      <c r="A26" s="96" t="s">
        <v>10</v>
      </c>
      <c r="B26" s="96"/>
      <c r="C26" s="103"/>
      <c r="D26" s="104"/>
      <c r="E26" s="104"/>
      <c r="F26" s="105"/>
    </row>
    <row r="27" spans="1:6">
      <c r="A27" s="102" t="s">
        <v>12</v>
      </c>
      <c r="B27" s="102"/>
      <c r="C27" s="102"/>
      <c r="D27" s="102"/>
      <c r="E27" s="102"/>
      <c r="F27" s="102"/>
    </row>
    <row r="28" spans="1:6">
      <c r="A28" s="102"/>
      <c r="B28" s="102"/>
      <c r="C28" s="102"/>
      <c r="D28" s="102"/>
      <c r="E28" s="102"/>
      <c r="F28" s="102"/>
    </row>
    <row r="29" spans="1:6">
      <c r="A29" s="102"/>
      <c r="B29" s="102"/>
      <c r="C29" s="102"/>
      <c r="D29" s="102"/>
      <c r="E29" s="102"/>
      <c r="F29" s="102"/>
    </row>
    <row r="30" spans="1:6">
      <c r="A30" s="102"/>
      <c r="B30" s="102"/>
      <c r="C30" s="102"/>
      <c r="D30" s="102"/>
      <c r="E30" s="102"/>
      <c r="F30" s="102"/>
    </row>
    <row r="33" spans="2:5">
      <c r="B33" s="20" t="s">
        <v>19</v>
      </c>
      <c r="C33" s="20" t="s">
        <v>20</v>
      </c>
      <c r="D33" s="20"/>
      <c r="E33" s="20" t="s">
        <v>16</v>
      </c>
    </row>
    <row r="34" spans="2:5">
      <c r="B34" s="59">
        <v>1000</v>
      </c>
      <c r="C34" s="59">
        <v>8</v>
      </c>
      <c r="D34" s="21"/>
      <c r="E34" s="59">
        <f>B34*C34</f>
        <v>8000</v>
      </c>
    </row>
    <row r="35" spans="2:5">
      <c r="B35" s="59">
        <v>500</v>
      </c>
      <c r="C35" s="59">
        <v>5</v>
      </c>
      <c r="D35" s="21"/>
      <c r="E35" s="59">
        <f t="shared" ref="E35:E41" si="0">B35*C35</f>
        <v>2500</v>
      </c>
    </row>
    <row r="36" spans="2:5">
      <c r="B36" s="59">
        <v>100</v>
      </c>
      <c r="C36" s="59">
        <v>8</v>
      </c>
      <c r="D36" s="21"/>
      <c r="E36" s="59">
        <f t="shared" si="0"/>
        <v>800</v>
      </c>
    </row>
    <row r="37" spans="2:5">
      <c r="B37" s="59">
        <v>50</v>
      </c>
      <c r="C37" s="59"/>
      <c r="D37" s="21"/>
      <c r="E37" s="59">
        <f t="shared" si="0"/>
        <v>0</v>
      </c>
    </row>
    <row r="38" spans="2:5">
      <c r="B38" s="59">
        <v>20</v>
      </c>
      <c r="C38" s="59"/>
      <c r="D38" s="21"/>
      <c r="E38" s="59">
        <f t="shared" si="0"/>
        <v>0</v>
      </c>
    </row>
    <row r="39" spans="2:5">
      <c r="B39" s="59">
        <v>10</v>
      </c>
      <c r="C39" s="59">
        <v>2</v>
      </c>
      <c r="D39" s="21"/>
      <c r="E39" s="59">
        <f t="shared" si="0"/>
        <v>20</v>
      </c>
    </row>
    <row r="40" spans="2:5">
      <c r="B40" s="59">
        <v>5</v>
      </c>
      <c r="C40" s="50"/>
      <c r="D40" s="21"/>
      <c r="E40" s="59">
        <f t="shared" si="0"/>
        <v>0</v>
      </c>
    </row>
    <row r="41" spans="2:5">
      <c r="B41" s="59">
        <v>2</v>
      </c>
      <c r="C41" s="59">
        <v>1</v>
      </c>
      <c r="D41" s="21"/>
      <c r="E41" s="59">
        <f t="shared" si="0"/>
        <v>2</v>
      </c>
    </row>
    <row r="42" spans="2:5">
      <c r="B42" s="59">
        <v>1</v>
      </c>
      <c r="C42" s="59"/>
      <c r="D42" s="21"/>
      <c r="E42" s="59">
        <f t="shared" ref="E42" si="1">B42*C42</f>
        <v>0</v>
      </c>
    </row>
    <row r="43" spans="2:5">
      <c r="B43" s="58" t="s">
        <v>17</v>
      </c>
      <c r="C43" s="59">
        <f>SUM(C34:C42)</f>
        <v>24</v>
      </c>
      <c r="D43" s="21"/>
      <c r="E43" s="20">
        <f>SUM(E34:E42)</f>
        <v>11322</v>
      </c>
    </row>
    <row r="44" spans="2:5">
      <c r="B44" s="21"/>
      <c r="C44" s="21"/>
      <c r="D44" s="21"/>
      <c r="E44" s="21"/>
    </row>
    <row r="46" spans="2:5">
      <c r="B46" s="1" t="s">
        <v>29</v>
      </c>
      <c r="E46" s="22"/>
    </row>
  </sheetData>
  <mergeCells count="11">
    <mergeCell ref="A25:D25"/>
    <mergeCell ref="E25:F25"/>
    <mergeCell ref="A26:B26"/>
    <mergeCell ref="C26:F26"/>
    <mergeCell ref="A27:F30"/>
    <mergeCell ref="A23:B23"/>
    <mergeCell ref="A1:F1"/>
    <mergeCell ref="A2:F2"/>
    <mergeCell ref="A3:F3"/>
    <mergeCell ref="B4:F4"/>
    <mergeCell ref="A5:E6"/>
  </mergeCells>
  <pageMargins left="1" right="1" top="0.5" bottom="0.5" header="0.5" footer="0.5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F46"/>
  <sheetViews>
    <sheetView workbookViewId="0">
      <selection activeCell="F6" sqref="F6"/>
    </sheetView>
  </sheetViews>
  <sheetFormatPr defaultRowHeight="15"/>
  <cols>
    <col min="1" max="1" width="2.42578125" style="1" customWidth="1"/>
    <col min="2" max="2" width="24.85546875" style="1" customWidth="1"/>
    <col min="3" max="3" width="10.85546875" style="1" customWidth="1"/>
    <col min="4" max="4" width="2.85546875" style="1" customWidth="1"/>
    <col min="5" max="5" width="26.85546875" style="1" customWidth="1"/>
    <col min="6" max="6" width="14.5703125" style="1" customWidth="1"/>
    <col min="7" max="16384" width="9.140625" style="1"/>
  </cols>
  <sheetData>
    <row r="1" spans="1:6" ht="15.75">
      <c r="A1" s="106" t="s">
        <v>0</v>
      </c>
      <c r="B1" s="107"/>
      <c r="C1" s="107"/>
      <c r="D1" s="107"/>
      <c r="E1" s="107"/>
      <c r="F1" s="108"/>
    </row>
    <row r="2" spans="1:6">
      <c r="A2" s="109" t="s">
        <v>1</v>
      </c>
      <c r="B2" s="110"/>
      <c r="C2" s="110"/>
      <c r="D2" s="110"/>
      <c r="E2" s="110"/>
      <c r="F2" s="111"/>
    </row>
    <row r="3" spans="1:6">
      <c r="A3" s="112" t="s">
        <v>2</v>
      </c>
      <c r="B3" s="113"/>
      <c r="C3" s="113"/>
      <c r="D3" s="113"/>
      <c r="E3" s="113"/>
      <c r="F3" s="114"/>
    </row>
    <row r="4" spans="1:6">
      <c r="A4" s="28"/>
      <c r="B4" s="115" t="s">
        <v>28</v>
      </c>
      <c r="C4" s="115"/>
      <c r="D4" s="115"/>
      <c r="E4" s="115"/>
      <c r="F4" s="116"/>
    </row>
    <row r="5" spans="1:6">
      <c r="A5" s="117" t="s">
        <v>3</v>
      </c>
      <c r="B5" s="118"/>
      <c r="C5" s="118"/>
      <c r="D5" s="118"/>
      <c r="E5" s="118"/>
      <c r="F5" s="4" t="s">
        <v>14</v>
      </c>
    </row>
    <row r="6" spans="1:6">
      <c r="A6" s="119"/>
      <c r="B6" s="120"/>
      <c r="C6" s="120"/>
      <c r="D6" s="120"/>
      <c r="E6" s="120"/>
      <c r="F6" s="5" t="s">
        <v>109</v>
      </c>
    </row>
    <row r="7" spans="1:6">
      <c r="A7" s="6" t="s">
        <v>4</v>
      </c>
      <c r="B7" s="6" t="s">
        <v>5</v>
      </c>
      <c r="C7" s="6" t="s">
        <v>6</v>
      </c>
      <c r="D7" s="6" t="s">
        <v>4</v>
      </c>
      <c r="E7" s="6" t="s">
        <v>7</v>
      </c>
      <c r="F7" s="6" t="s">
        <v>6</v>
      </c>
    </row>
    <row r="8" spans="1:6">
      <c r="A8" s="7">
        <v>1</v>
      </c>
      <c r="B8" s="7" t="s">
        <v>8</v>
      </c>
      <c r="C8" s="6">
        <v>65526</v>
      </c>
      <c r="D8" s="7">
        <v>1</v>
      </c>
      <c r="E8" s="7" t="s">
        <v>23</v>
      </c>
      <c r="F8" s="16">
        <v>640</v>
      </c>
    </row>
    <row r="9" spans="1:6">
      <c r="A9" s="7">
        <v>2</v>
      </c>
      <c r="B9" s="7" t="s">
        <v>13</v>
      </c>
      <c r="C9" s="14">
        <v>7700</v>
      </c>
      <c r="D9" s="7">
        <v>2</v>
      </c>
      <c r="E9" s="25" t="s">
        <v>99</v>
      </c>
      <c r="F9" s="17"/>
    </row>
    <row r="10" spans="1:6">
      <c r="A10" s="7">
        <v>3</v>
      </c>
      <c r="B10" s="7" t="s">
        <v>87</v>
      </c>
      <c r="C10" s="14">
        <v>90</v>
      </c>
      <c r="D10" s="7">
        <v>3</v>
      </c>
      <c r="E10" s="7" t="s">
        <v>100</v>
      </c>
      <c r="F10" s="17"/>
    </row>
    <row r="11" spans="1:6">
      <c r="A11" s="7">
        <v>4</v>
      </c>
      <c r="B11" s="7" t="s">
        <v>95</v>
      </c>
      <c r="C11" s="14">
        <v>400</v>
      </c>
      <c r="D11" s="7">
        <v>4</v>
      </c>
      <c r="E11" s="7" t="s">
        <v>101</v>
      </c>
      <c r="F11" s="17"/>
    </row>
    <row r="12" spans="1:6">
      <c r="A12" s="7">
        <v>5</v>
      </c>
      <c r="B12" s="7" t="s">
        <v>21</v>
      </c>
      <c r="C12" s="14"/>
      <c r="D12" s="7">
        <v>5</v>
      </c>
      <c r="E12" s="7" t="s">
        <v>102</v>
      </c>
      <c r="F12" s="17">
        <v>40</v>
      </c>
    </row>
    <row r="13" spans="1:6">
      <c r="A13" s="7">
        <v>6</v>
      </c>
      <c r="B13" s="7" t="s">
        <v>31</v>
      </c>
      <c r="C13" s="14"/>
      <c r="D13" s="7">
        <v>6</v>
      </c>
      <c r="E13" s="7" t="s">
        <v>103</v>
      </c>
      <c r="F13" s="17">
        <v>40</v>
      </c>
    </row>
    <row r="14" spans="1:6">
      <c r="A14" s="7">
        <v>7</v>
      </c>
      <c r="B14" s="7" t="s">
        <v>22</v>
      </c>
      <c r="C14" s="14">
        <v>230</v>
      </c>
      <c r="D14" s="7">
        <v>7</v>
      </c>
      <c r="E14" s="7" t="s">
        <v>104</v>
      </c>
      <c r="F14" s="17">
        <v>20</v>
      </c>
    </row>
    <row r="15" spans="1:6">
      <c r="A15" s="7">
        <v>8</v>
      </c>
      <c r="B15" s="7" t="s">
        <v>26</v>
      </c>
      <c r="C15" s="14"/>
      <c r="D15" s="7">
        <v>8</v>
      </c>
      <c r="E15" s="7" t="s">
        <v>105</v>
      </c>
      <c r="F15" s="17">
        <v>60</v>
      </c>
    </row>
    <row r="16" spans="1:6">
      <c r="A16" s="7">
        <v>9</v>
      </c>
      <c r="B16" s="7" t="s">
        <v>37</v>
      </c>
      <c r="C16" s="14"/>
      <c r="D16" s="7">
        <v>9</v>
      </c>
      <c r="E16" s="7" t="s">
        <v>106</v>
      </c>
      <c r="F16" s="17">
        <v>1000</v>
      </c>
    </row>
    <row r="17" spans="1:6">
      <c r="A17" s="7">
        <v>10</v>
      </c>
      <c r="B17" s="25" t="s">
        <v>64</v>
      </c>
      <c r="C17" s="14"/>
      <c r="D17" s="7">
        <v>10</v>
      </c>
      <c r="E17" s="7" t="s">
        <v>107</v>
      </c>
      <c r="F17" s="17">
        <v>30000</v>
      </c>
    </row>
    <row r="18" spans="1:6">
      <c r="A18" s="7">
        <v>11</v>
      </c>
      <c r="B18" s="7" t="s">
        <v>67</v>
      </c>
      <c r="C18" s="14"/>
      <c r="D18" s="7">
        <v>11</v>
      </c>
      <c r="E18" s="7" t="s">
        <v>108</v>
      </c>
      <c r="F18" s="17">
        <v>2000</v>
      </c>
    </row>
    <row r="19" spans="1:6">
      <c r="A19" s="7">
        <v>12</v>
      </c>
      <c r="B19" s="2" t="s">
        <v>73</v>
      </c>
      <c r="C19" s="15"/>
      <c r="D19" s="7">
        <v>12</v>
      </c>
      <c r="E19" s="2"/>
      <c r="F19" s="18"/>
    </row>
    <row r="20" spans="1:6">
      <c r="A20" s="7">
        <v>13</v>
      </c>
      <c r="B20" s="25" t="s">
        <v>75</v>
      </c>
      <c r="C20" s="15"/>
      <c r="D20" s="7">
        <v>13</v>
      </c>
      <c r="E20" s="2"/>
      <c r="F20" s="18"/>
    </row>
    <row r="21" spans="1:6">
      <c r="A21" s="7">
        <v>14</v>
      </c>
      <c r="B21" s="25" t="s">
        <v>90</v>
      </c>
      <c r="C21" s="15"/>
      <c r="D21" s="7">
        <v>14</v>
      </c>
      <c r="E21" s="2"/>
      <c r="F21" s="18"/>
    </row>
    <row r="22" spans="1:6">
      <c r="A22" s="7">
        <v>15</v>
      </c>
      <c r="B22" s="53" t="s">
        <v>93</v>
      </c>
      <c r="C22" s="15"/>
      <c r="D22" s="7">
        <v>15</v>
      </c>
      <c r="E22" s="2"/>
      <c r="F22" s="18"/>
    </row>
    <row r="23" spans="1:6">
      <c r="A23" s="79" t="s">
        <v>9</v>
      </c>
      <c r="B23" s="80"/>
      <c r="C23" s="3">
        <f>SUM(C8:C22)</f>
        <v>73946</v>
      </c>
      <c r="D23" s="12"/>
      <c r="E23" s="13" t="s">
        <v>15</v>
      </c>
      <c r="F23" s="19">
        <f>SUM(F8:F21)</f>
        <v>33800</v>
      </c>
    </row>
    <row r="24" spans="1:6">
      <c r="A24" s="8"/>
      <c r="B24" s="9"/>
      <c r="C24" s="10"/>
      <c r="D24" s="11"/>
    </row>
    <row r="25" spans="1:6">
      <c r="A25" s="96" t="s">
        <v>11</v>
      </c>
      <c r="B25" s="96"/>
      <c r="C25" s="96"/>
      <c r="D25" s="96"/>
      <c r="E25" s="97">
        <f>C23-F23</f>
        <v>40146</v>
      </c>
      <c r="F25" s="98"/>
    </row>
    <row r="26" spans="1:6">
      <c r="A26" s="96" t="s">
        <v>10</v>
      </c>
      <c r="B26" s="96"/>
      <c r="C26" s="103"/>
      <c r="D26" s="104"/>
      <c r="E26" s="104"/>
      <c r="F26" s="105"/>
    </row>
    <row r="27" spans="1:6">
      <c r="A27" s="102" t="s">
        <v>12</v>
      </c>
      <c r="B27" s="102"/>
      <c r="C27" s="102"/>
      <c r="D27" s="102"/>
      <c r="E27" s="102"/>
      <c r="F27" s="102"/>
    </row>
    <row r="28" spans="1:6">
      <c r="A28" s="102"/>
      <c r="B28" s="102"/>
      <c r="C28" s="102"/>
      <c r="D28" s="102"/>
      <c r="E28" s="102"/>
      <c r="F28" s="102"/>
    </row>
    <row r="29" spans="1:6">
      <c r="A29" s="102"/>
      <c r="B29" s="102"/>
      <c r="C29" s="102"/>
      <c r="D29" s="102"/>
      <c r="E29" s="102"/>
      <c r="F29" s="102"/>
    </row>
    <row r="30" spans="1:6">
      <c r="A30" s="102"/>
      <c r="B30" s="102"/>
      <c r="C30" s="102"/>
      <c r="D30" s="102"/>
      <c r="E30" s="102"/>
      <c r="F30" s="102"/>
    </row>
    <row r="33" spans="2:5">
      <c r="B33" s="20" t="s">
        <v>19</v>
      </c>
      <c r="C33" s="20" t="s">
        <v>20</v>
      </c>
      <c r="D33" s="20"/>
      <c r="E33" s="20" t="s">
        <v>16</v>
      </c>
    </row>
    <row r="34" spans="2:5">
      <c r="B34" s="57">
        <v>1000</v>
      </c>
      <c r="C34" s="57">
        <v>2</v>
      </c>
      <c r="D34" s="21"/>
      <c r="E34" s="57">
        <f>B34*C34</f>
        <v>2000</v>
      </c>
    </row>
    <row r="35" spans="2:5">
      <c r="B35" s="57">
        <v>500</v>
      </c>
      <c r="C35" s="57">
        <v>8</v>
      </c>
      <c r="D35" s="21"/>
      <c r="E35" s="57">
        <f t="shared" ref="E35:E41" si="0">B35*C35</f>
        <v>4000</v>
      </c>
    </row>
    <row r="36" spans="2:5">
      <c r="B36" s="57">
        <v>100</v>
      </c>
      <c r="C36" s="57">
        <v>5</v>
      </c>
      <c r="D36" s="21"/>
      <c r="E36" s="57">
        <f t="shared" si="0"/>
        <v>500</v>
      </c>
    </row>
    <row r="37" spans="2:5">
      <c r="B37" s="57">
        <v>50</v>
      </c>
      <c r="C37" s="57">
        <v>2</v>
      </c>
      <c r="D37" s="21"/>
      <c r="E37" s="57">
        <f t="shared" si="0"/>
        <v>100</v>
      </c>
    </row>
    <row r="38" spans="2:5">
      <c r="B38" s="57">
        <v>20</v>
      </c>
      <c r="C38" s="57"/>
      <c r="D38" s="21"/>
      <c r="E38" s="57">
        <f t="shared" si="0"/>
        <v>0</v>
      </c>
    </row>
    <row r="39" spans="2:5">
      <c r="B39" s="57">
        <v>10</v>
      </c>
      <c r="C39" s="57">
        <v>2</v>
      </c>
      <c r="D39" s="21"/>
      <c r="E39" s="57">
        <f t="shared" si="0"/>
        <v>20</v>
      </c>
    </row>
    <row r="40" spans="2:5">
      <c r="B40" s="57">
        <v>5</v>
      </c>
      <c r="C40" s="50"/>
      <c r="D40" s="21"/>
      <c r="E40" s="57">
        <f t="shared" si="0"/>
        <v>0</v>
      </c>
    </row>
    <row r="41" spans="2:5">
      <c r="B41" s="57">
        <v>2</v>
      </c>
      <c r="C41" s="57"/>
      <c r="D41" s="21"/>
      <c r="E41" s="57">
        <f t="shared" si="0"/>
        <v>0</v>
      </c>
    </row>
    <row r="42" spans="2:5">
      <c r="B42" s="57">
        <v>1</v>
      </c>
      <c r="C42" s="57"/>
      <c r="D42" s="21"/>
      <c r="E42" s="57">
        <f t="shared" ref="E42" si="1">B42*C42</f>
        <v>0</v>
      </c>
    </row>
    <row r="43" spans="2:5">
      <c r="B43" s="56" t="s">
        <v>17</v>
      </c>
      <c r="C43" s="57">
        <f>SUM(C34:C42)</f>
        <v>19</v>
      </c>
      <c r="D43" s="21"/>
      <c r="E43" s="20">
        <f>SUM(E34:E42)</f>
        <v>6620</v>
      </c>
    </row>
    <row r="44" spans="2:5">
      <c r="B44" s="21"/>
      <c r="C44" s="21"/>
      <c r="D44" s="21"/>
      <c r="E44" s="21"/>
    </row>
    <row r="46" spans="2:5">
      <c r="B46" s="1" t="s">
        <v>29</v>
      </c>
      <c r="E46" s="22"/>
    </row>
  </sheetData>
  <mergeCells count="11">
    <mergeCell ref="A23:B23"/>
    <mergeCell ref="A1:F1"/>
    <mergeCell ref="A2:F2"/>
    <mergeCell ref="A3:F3"/>
    <mergeCell ref="B4:F4"/>
    <mergeCell ref="A5:E6"/>
    <mergeCell ref="A25:D25"/>
    <mergeCell ref="E25:F25"/>
    <mergeCell ref="A26:B26"/>
    <mergeCell ref="C26:F26"/>
    <mergeCell ref="A27:F30"/>
  </mergeCells>
  <pageMargins left="1" right="1" top="0.5" bottom="0.5" header="0.5" footer="0.5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6"/>
  <sheetViews>
    <sheetView workbookViewId="0">
      <selection activeCell="E25" sqref="E25:F25"/>
    </sheetView>
  </sheetViews>
  <sheetFormatPr defaultRowHeight="15"/>
  <cols>
    <col min="1" max="1" width="2.42578125" style="1" customWidth="1"/>
    <col min="2" max="2" width="24.85546875" style="1" customWidth="1"/>
    <col min="3" max="3" width="10.85546875" style="1" customWidth="1"/>
    <col min="4" max="4" width="2.85546875" style="1" customWidth="1"/>
    <col min="5" max="5" width="26.85546875" style="1" customWidth="1"/>
    <col min="6" max="6" width="14.5703125" style="1" customWidth="1"/>
    <col min="7" max="16384" width="9.140625" style="1"/>
  </cols>
  <sheetData>
    <row r="1" spans="1:6" ht="15.75">
      <c r="A1" s="106" t="s">
        <v>0</v>
      </c>
      <c r="B1" s="107"/>
      <c r="C1" s="107"/>
      <c r="D1" s="107"/>
      <c r="E1" s="107"/>
      <c r="F1" s="108"/>
    </row>
    <row r="2" spans="1:6">
      <c r="A2" s="109" t="s">
        <v>1</v>
      </c>
      <c r="B2" s="110"/>
      <c r="C2" s="110"/>
      <c r="D2" s="110"/>
      <c r="E2" s="110"/>
      <c r="F2" s="111"/>
    </row>
    <row r="3" spans="1:6">
      <c r="A3" s="112" t="s">
        <v>2</v>
      </c>
      <c r="B3" s="113"/>
      <c r="C3" s="113"/>
      <c r="D3" s="113"/>
      <c r="E3" s="113"/>
      <c r="F3" s="114"/>
    </row>
    <row r="4" spans="1:6">
      <c r="A4" s="28"/>
      <c r="B4" s="115" t="s">
        <v>28</v>
      </c>
      <c r="C4" s="115"/>
      <c r="D4" s="115"/>
      <c r="E4" s="115"/>
      <c r="F4" s="116"/>
    </row>
    <row r="5" spans="1:6">
      <c r="A5" s="117" t="s">
        <v>3</v>
      </c>
      <c r="B5" s="118"/>
      <c r="C5" s="118"/>
      <c r="D5" s="118"/>
      <c r="E5" s="118"/>
      <c r="F5" s="4" t="s">
        <v>14</v>
      </c>
    </row>
    <row r="6" spans="1:6">
      <c r="A6" s="119"/>
      <c r="B6" s="120"/>
      <c r="C6" s="120"/>
      <c r="D6" s="120"/>
      <c r="E6" s="120"/>
      <c r="F6" s="5" t="s">
        <v>98</v>
      </c>
    </row>
    <row r="7" spans="1:6">
      <c r="A7" s="6" t="s">
        <v>4</v>
      </c>
      <c r="B7" s="6" t="s">
        <v>5</v>
      </c>
      <c r="C7" s="6" t="s">
        <v>6</v>
      </c>
      <c r="D7" s="6" t="s">
        <v>4</v>
      </c>
      <c r="E7" s="6" t="s">
        <v>7</v>
      </c>
      <c r="F7" s="6" t="s">
        <v>6</v>
      </c>
    </row>
    <row r="8" spans="1:6">
      <c r="A8" s="7">
        <v>1</v>
      </c>
      <c r="B8" s="7" t="s">
        <v>8</v>
      </c>
      <c r="C8" s="6">
        <v>53906</v>
      </c>
      <c r="D8" s="7">
        <v>1</v>
      </c>
      <c r="E8" s="7" t="s">
        <v>23</v>
      </c>
      <c r="F8" s="16">
        <v>600</v>
      </c>
    </row>
    <row r="9" spans="1:6">
      <c r="A9" s="7">
        <v>2</v>
      </c>
      <c r="B9" s="7" t="s">
        <v>13</v>
      </c>
      <c r="C9" s="14">
        <f>2000+300+600+1200+1200+600+300+1200+1000+1000+500+600+600+600+1200+600+1000</f>
        <v>14500</v>
      </c>
      <c r="D9" s="7">
        <v>2</v>
      </c>
      <c r="E9" s="25" t="s">
        <v>99</v>
      </c>
      <c r="F9" s="17">
        <v>1681</v>
      </c>
    </row>
    <row r="10" spans="1:6">
      <c r="A10" s="7">
        <v>3</v>
      </c>
      <c r="B10" s="7" t="s">
        <v>87</v>
      </c>
      <c r="C10" s="14">
        <f>30+30+30+30+30+30+20+30+30</f>
        <v>260</v>
      </c>
      <c r="D10" s="7">
        <v>3</v>
      </c>
      <c r="E10" s="7" t="s">
        <v>100</v>
      </c>
      <c r="F10" s="17">
        <v>19</v>
      </c>
    </row>
    <row r="11" spans="1:6">
      <c r="A11" s="7">
        <v>4</v>
      </c>
      <c r="B11" s="7" t="s">
        <v>95</v>
      </c>
      <c r="C11" s="14">
        <v>1150</v>
      </c>
      <c r="D11" s="7">
        <v>4</v>
      </c>
      <c r="E11" s="7" t="s">
        <v>101</v>
      </c>
      <c r="F11" s="17">
        <v>2520</v>
      </c>
    </row>
    <row r="12" spans="1:6">
      <c r="A12" s="7">
        <v>5</v>
      </c>
      <c r="B12" s="7" t="s">
        <v>21</v>
      </c>
      <c r="C12" s="14"/>
      <c r="D12" s="7">
        <v>5</v>
      </c>
      <c r="E12" s="7"/>
      <c r="F12" s="17"/>
    </row>
    <row r="13" spans="1:6">
      <c r="A13" s="7">
        <v>6</v>
      </c>
      <c r="B13" s="7" t="s">
        <v>31</v>
      </c>
      <c r="C13" s="14">
        <f>90+270</f>
        <v>360</v>
      </c>
      <c r="D13" s="7">
        <v>6</v>
      </c>
      <c r="E13" s="7"/>
      <c r="F13" s="17"/>
    </row>
    <row r="14" spans="1:6">
      <c r="A14" s="7">
        <v>7</v>
      </c>
      <c r="B14" s="7" t="s">
        <v>22</v>
      </c>
      <c r="C14" s="14">
        <f>60+20+30+60</f>
        <v>170</v>
      </c>
      <c r="D14" s="7">
        <v>7</v>
      </c>
      <c r="E14" s="7"/>
      <c r="F14" s="17"/>
    </row>
    <row r="15" spans="1:6">
      <c r="A15" s="7">
        <v>8</v>
      </c>
      <c r="B15" s="7" t="s">
        <v>26</v>
      </c>
      <c r="C15" s="14"/>
      <c r="D15" s="7">
        <v>8</v>
      </c>
      <c r="E15" s="7"/>
      <c r="F15" s="17"/>
    </row>
    <row r="16" spans="1:6">
      <c r="A16" s="7">
        <v>9</v>
      </c>
      <c r="B16" s="7" t="s">
        <v>37</v>
      </c>
      <c r="C16" s="14"/>
      <c r="D16" s="7">
        <v>9</v>
      </c>
      <c r="E16" s="7"/>
      <c r="F16" s="17"/>
    </row>
    <row r="17" spans="1:6">
      <c r="A17" s="7">
        <v>10</v>
      </c>
      <c r="B17" s="25" t="s">
        <v>64</v>
      </c>
      <c r="C17" s="14"/>
      <c r="D17" s="7">
        <v>10</v>
      </c>
      <c r="E17" s="7"/>
      <c r="F17" s="17"/>
    </row>
    <row r="18" spans="1:6">
      <c r="A18" s="7">
        <v>11</v>
      </c>
      <c r="B18" s="7" t="s">
        <v>67</v>
      </c>
      <c r="C18" s="14"/>
      <c r="D18" s="7">
        <v>11</v>
      </c>
      <c r="E18" s="7"/>
      <c r="F18" s="17"/>
    </row>
    <row r="19" spans="1:6">
      <c r="A19" s="7">
        <v>12</v>
      </c>
      <c r="B19" s="2" t="s">
        <v>73</v>
      </c>
      <c r="C19" s="15"/>
      <c r="D19" s="7">
        <v>12</v>
      </c>
      <c r="E19" s="2"/>
      <c r="F19" s="18"/>
    </row>
    <row r="20" spans="1:6">
      <c r="A20" s="7">
        <v>13</v>
      </c>
      <c r="B20" s="25" t="s">
        <v>75</v>
      </c>
      <c r="C20" s="15"/>
      <c r="D20" s="7">
        <v>13</v>
      </c>
      <c r="E20" s="2"/>
      <c r="F20" s="18"/>
    </row>
    <row r="21" spans="1:6">
      <c r="A21" s="7">
        <v>14</v>
      </c>
      <c r="B21" s="25" t="s">
        <v>90</v>
      </c>
      <c r="C21" s="15"/>
      <c r="D21" s="7">
        <v>14</v>
      </c>
      <c r="E21" s="2"/>
      <c r="F21" s="18"/>
    </row>
    <row r="22" spans="1:6">
      <c r="A22" s="7">
        <v>15</v>
      </c>
      <c r="B22" s="53" t="s">
        <v>93</v>
      </c>
      <c r="C22" s="15"/>
      <c r="D22" s="7">
        <v>15</v>
      </c>
      <c r="E22" s="2"/>
      <c r="F22" s="18"/>
    </row>
    <row r="23" spans="1:6">
      <c r="A23" s="79" t="s">
        <v>9</v>
      </c>
      <c r="B23" s="80"/>
      <c r="C23" s="3">
        <f>SUM(C8:C22)</f>
        <v>70346</v>
      </c>
      <c r="D23" s="12"/>
      <c r="E23" s="13" t="s">
        <v>15</v>
      </c>
      <c r="F23" s="19">
        <f>SUM(F8:F21)</f>
        <v>4820</v>
      </c>
    </row>
    <row r="24" spans="1:6">
      <c r="A24" s="8"/>
      <c r="B24" s="9"/>
      <c r="C24" s="10"/>
      <c r="D24" s="11"/>
    </row>
    <row r="25" spans="1:6">
      <c r="A25" s="96" t="s">
        <v>11</v>
      </c>
      <c r="B25" s="96"/>
      <c r="C25" s="96"/>
      <c r="D25" s="96"/>
      <c r="E25" s="97">
        <f>C23-F23</f>
        <v>65526</v>
      </c>
      <c r="F25" s="98"/>
    </row>
    <row r="26" spans="1:6">
      <c r="A26" s="96" t="s">
        <v>10</v>
      </c>
      <c r="B26" s="96"/>
      <c r="C26" s="103"/>
      <c r="D26" s="104"/>
      <c r="E26" s="104"/>
      <c r="F26" s="105"/>
    </row>
    <row r="27" spans="1:6">
      <c r="A27" s="102" t="s">
        <v>12</v>
      </c>
      <c r="B27" s="102"/>
      <c r="C27" s="102"/>
      <c r="D27" s="102"/>
      <c r="E27" s="102"/>
      <c r="F27" s="102"/>
    </row>
    <row r="28" spans="1:6">
      <c r="A28" s="102"/>
      <c r="B28" s="102"/>
      <c r="C28" s="102"/>
      <c r="D28" s="102"/>
      <c r="E28" s="102"/>
      <c r="F28" s="102"/>
    </row>
    <row r="29" spans="1:6">
      <c r="A29" s="102"/>
      <c r="B29" s="102"/>
      <c r="C29" s="102"/>
      <c r="D29" s="102"/>
      <c r="E29" s="102"/>
      <c r="F29" s="102"/>
    </row>
    <row r="30" spans="1:6">
      <c r="A30" s="102"/>
      <c r="B30" s="102"/>
      <c r="C30" s="102"/>
      <c r="D30" s="102"/>
      <c r="E30" s="102"/>
      <c r="F30" s="102"/>
    </row>
    <row r="33" spans="2:6">
      <c r="B33" s="20" t="s">
        <v>19</v>
      </c>
      <c r="C33" s="20" t="s">
        <v>20</v>
      </c>
      <c r="D33" s="20"/>
      <c r="E33" s="20" t="s">
        <v>16</v>
      </c>
      <c r="F33" s="1">
        <f>16440-4820</f>
        <v>11620</v>
      </c>
    </row>
    <row r="34" spans="2:6">
      <c r="B34" s="55">
        <v>1000</v>
      </c>
      <c r="C34" s="55">
        <v>7</v>
      </c>
      <c r="D34" s="21"/>
      <c r="E34" s="55">
        <f>B34*C34</f>
        <v>7000</v>
      </c>
    </row>
    <row r="35" spans="2:6">
      <c r="B35" s="55">
        <v>500</v>
      </c>
      <c r="C35" s="55">
        <v>3</v>
      </c>
      <c r="D35" s="21"/>
      <c r="E35" s="55">
        <f>B35*C35</f>
        <v>1500</v>
      </c>
    </row>
    <row r="36" spans="2:6">
      <c r="B36" s="55">
        <v>100</v>
      </c>
      <c r="C36" s="55">
        <v>25</v>
      </c>
      <c r="D36" s="21"/>
      <c r="E36" s="55">
        <f t="shared" ref="E36:E42" si="0">B36*C36</f>
        <v>2500</v>
      </c>
    </row>
    <row r="37" spans="2:6">
      <c r="B37" s="55">
        <v>50</v>
      </c>
      <c r="C37" s="55">
        <v>7</v>
      </c>
      <c r="D37" s="21"/>
      <c r="E37" s="55">
        <f t="shared" si="0"/>
        <v>350</v>
      </c>
    </row>
    <row r="38" spans="2:6">
      <c r="B38" s="55">
        <v>20</v>
      </c>
      <c r="C38" s="55">
        <v>7</v>
      </c>
      <c r="D38" s="21"/>
      <c r="E38" s="55">
        <f t="shared" si="0"/>
        <v>140</v>
      </c>
    </row>
    <row r="39" spans="2:6">
      <c r="B39" s="55">
        <v>10</v>
      </c>
      <c r="C39" s="55">
        <v>13</v>
      </c>
      <c r="D39" s="21"/>
      <c r="E39" s="55">
        <f t="shared" si="0"/>
        <v>130</v>
      </c>
    </row>
    <row r="40" spans="2:6">
      <c r="B40" s="55">
        <v>5</v>
      </c>
      <c r="C40" s="50"/>
      <c r="D40" s="21"/>
      <c r="E40" s="55">
        <f t="shared" si="0"/>
        <v>0</v>
      </c>
    </row>
    <row r="41" spans="2:6">
      <c r="B41" s="55">
        <v>2</v>
      </c>
      <c r="C41" s="55"/>
      <c r="D41" s="21"/>
      <c r="E41" s="55">
        <f t="shared" si="0"/>
        <v>0</v>
      </c>
    </row>
    <row r="42" spans="2:6">
      <c r="B42" s="55">
        <v>1</v>
      </c>
      <c r="C42" s="55"/>
      <c r="D42" s="21"/>
      <c r="E42" s="55">
        <f t="shared" si="0"/>
        <v>0</v>
      </c>
    </row>
    <row r="43" spans="2:6">
      <c r="B43" s="54" t="s">
        <v>17</v>
      </c>
      <c r="C43" s="55">
        <f>SUM(C34:C42)</f>
        <v>62</v>
      </c>
      <c r="D43" s="21"/>
      <c r="E43" s="20">
        <f>SUM(E34:E42)</f>
        <v>11620</v>
      </c>
    </row>
    <row r="44" spans="2:6">
      <c r="B44" s="21"/>
      <c r="C44" s="21"/>
      <c r="D44" s="21"/>
      <c r="E44" s="21"/>
    </row>
    <row r="46" spans="2:6">
      <c r="B46" s="1" t="s">
        <v>29</v>
      </c>
      <c r="E46" s="22"/>
    </row>
  </sheetData>
  <mergeCells count="11">
    <mergeCell ref="A25:D25"/>
    <mergeCell ref="E25:F25"/>
    <mergeCell ref="A26:B26"/>
    <mergeCell ref="C26:F26"/>
    <mergeCell ref="A27:F30"/>
    <mergeCell ref="A23:B23"/>
    <mergeCell ref="A1:F1"/>
    <mergeCell ref="A2:F2"/>
    <mergeCell ref="A3:F3"/>
    <mergeCell ref="B4:F4"/>
    <mergeCell ref="A5:E6"/>
  </mergeCells>
  <pageMargins left="1" right="1" top="0.5" bottom="0.5" header="0.5" footer="0.5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46"/>
  <sheetViews>
    <sheetView workbookViewId="0">
      <selection activeCell="C40" sqref="C40"/>
    </sheetView>
  </sheetViews>
  <sheetFormatPr defaultRowHeight="15"/>
  <cols>
    <col min="1" max="1" width="2.42578125" style="1" customWidth="1"/>
    <col min="2" max="2" width="24.85546875" style="1" customWidth="1"/>
    <col min="3" max="3" width="10.85546875" style="1" customWidth="1"/>
    <col min="4" max="4" width="2.85546875" style="1" customWidth="1"/>
    <col min="5" max="5" width="26.85546875" style="1" customWidth="1"/>
    <col min="6" max="6" width="14.5703125" style="1" customWidth="1"/>
    <col min="7" max="16384" width="9.140625" style="1"/>
  </cols>
  <sheetData>
    <row r="1" spans="1:6" ht="15.75">
      <c r="A1" s="106" t="s">
        <v>0</v>
      </c>
      <c r="B1" s="107"/>
      <c r="C1" s="107"/>
      <c r="D1" s="107"/>
      <c r="E1" s="107"/>
      <c r="F1" s="108"/>
    </row>
    <row r="2" spans="1:6">
      <c r="A2" s="109" t="s">
        <v>1</v>
      </c>
      <c r="B2" s="110"/>
      <c r="C2" s="110"/>
      <c r="D2" s="110"/>
      <c r="E2" s="110"/>
      <c r="F2" s="111"/>
    </row>
    <row r="3" spans="1:6">
      <c r="A3" s="112" t="s">
        <v>2</v>
      </c>
      <c r="B3" s="113"/>
      <c r="C3" s="113"/>
      <c r="D3" s="113"/>
      <c r="E3" s="113"/>
      <c r="F3" s="114"/>
    </row>
    <row r="4" spans="1:6">
      <c r="A4" s="28"/>
      <c r="B4" s="115" t="s">
        <v>28</v>
      </c>
      <c r="C4" s="115"/>
      <c r="D4" s="115"/>
      <c r="E4" s="115"/>
      <c r="F4" s="116"/>
    </row>
    <row r="5" spans="1:6">
      <c r="A5" s="117" t="s">
        <v>3</v>
      </c>
      <c r="B5" s="118"/>
      <c r="C5" s="118"/>
      <c r="D5" s="118"/>
      <c r="E5" s="118"/>
      <c r="F5" s="4" t="s">
        <v>14</v>
      </c>
    </row>
    <row r="6" spans="1:6">
      <c r="A6" s="119"/>
      <c r="B6" s="120"/>
      <c r="C6" s="120"/>
      <c r="D6" s="120"/>
      <c r="E6" s="120"/>
      <c r="F6" s="5" t="s">
        <v>94</v>
      </c>
    </row>
    <row r="7" spans="1:6">
      <c r="A7" s="6" t="s">
        <v>4</v>
      </c>
      <c r="B7" s="6" t="s">
        <v>5</v>
      </c>
      <c r="C7" s="6" t="s">
        <v>6</v>
      </c>
      <c r="D7" s="6" t="s">
        <v>4</v>
      </c>
      <c r="E7" s="6" t="s">
        <v>7</v>
      </c>
      <c r="F7" s="6" t="s">
        <v>6</v>
      </c>
    </row>
    <row r="8" spans="1:6">
      <c r="A8" s="7">
        <v>1</v>
      </c>
      <c r="B8" s="7" t="s">
        <v>8</v>
      </c>
      <c r="C8" s="6">
        <v>45726</v>
      </c>
      <c r="D8" s="7">
        <v>1</v>
      </c>
      <c r="E8" s="7" t="s">
        <v>23</v>
      </c>
      <c r="F8" s="16">
        <f>1000-380</f>
        <v>620</v>
      </c>
    </row>
    <row r="9" spans="1:6">
      <c r="A9" s="7">
        <v>2</v>
      </c>
      <c r="B9" s="7" t="s">
        <v>13</v>
      </c>
      <c r="C9" s="14">
        <f>1200+600+300+600+600+500+1000+500+500+300+1200+500+600+500+500+300+2000+500+1100+600+600+300</f>
        <v>14800</v>
      </c>
      <c r="D9" s="7">
        <v>2</v>
      </c>
      <c r="E9" s="25" t="s">
        <v>96</v>
      </c>
      <c r="F9" s="17">
        <v>7690</v>
      </c>
    </row>
    <row r="10" spans="1:6">
      <c r="A10" s="7">
        <v>3</v>
      </c>
      <c r="B10" s="7" t="s">
        <v>87</v>
      </c>
      <c r="C10" s="14">
        <f>20+20+20+20+20+20+20+10+20+20+20</f>
        <v>210</v>
      </c>
      <c r="D10" s="7">
        <v>3</v>
      </c>
      <c r="E10" s="7" t="s">
        <v>97</v>
      </c>
      <c r="F10" s="17">
        <v>520</v>
      </c>
    </row>
    <row r="11" spans="1:6">
      <c r="A11" s="7">
        <v>4</v>
      </c>
      <c r="B11" s="7" t="s">
        <v>95</v>
      </c>
      <c r="C11" s="14">
        <v>1200</v>
      </c>
      <c r="D11" s="7">
        <v>4</v>
      </c>
      <c r="E11" s="7"/>
      <c r="F11" s="17"/>
    </row>
    <row r="12" spans="1:6">
      <c r="A12" s="7">
        <v>5</v>
      </c>
      <c r="B12" s="7" t="s">
        <v>21</v>
      </c>
      <c r="C12" s="14"/>
      <c r="D12" s="7">
        <v>5</v>
      </c>
      <c r="E12" s="7"/>
      <c r="F12" s="17"/>
    </row>
    <row r="13" spans="1:6">
      <c r="A13" s="7">
        <v>6</v>
      </c>
      <c r="B13" s="7" t="s">
        <v>31</v>
      </c>
      <c r="C13" s="14">
        <f>180+270</f>
        <v>450</v>
      </c>
      <c r="D13" s="7">
        <v>6</v>
      </c>
      <c r="E13" s="7"/>
      <c r="F13" s="17"/>
    </row>
    <row r="14" spans="1:6">
      <c r="A14" s="7">
        <v>7</v>
      </c>
      <c r="B14" s="7" t="s">
        <v>22</v>
      </c>
      <c r="C14" s="14">
        <f>60+30+30+25+25+30+90+30+30</f>
        <v>350</v>
      </c>
      <c r="D14" s="7">
        <v>7</v>
      </c>
      <c r="E14" s="7"/>
      <c r="F14" s="17"/>
    </row>
    <row r="15" spans="1:6">
      <c r="A15" s="7">
        <v>8</v>
      </c>
      <c r="B15" s="7" t="s">
        <v>26</v>
      </c>
      <c r="C15" s="14"/>
      <c r="D15" s="7">
        <v>8</v>
      </c>
      <c r="E15" s="7"/>
      <c r="F15" s="17"/>
    </row>
    <row r="16" spans="1:6">
      <c r="A16" s="7">
        <v>9</v>
      </c>
      <c r="B16" s="7" t="s">
        <v>37</v>
      </c>
      <c r="C16" s="14"/>
      <c r="D16" s="7">
        <v>9</v>
      </c>
      <c r="E16" s="7"/>
      <c r="F16" s="17"/>
    </row>
    <row r="17" spans="1:6">
      <c r="A17" s="7">
        <v>10</v>
      </c>
      <c r="B17" s="25" t="s">
        <v>64</v>
      </c>
      <c r="C17" s="14"/>
      <c r="D17" s="7">
        <v>10</v>
      </c>
      <c r="E17" s="7"/>
      <c r="F17" s="17"/>
    </row>
    <row r="18" spans="1:6">
      <c r="A18" s="7">
        <v>11</v>
      </c>
      <c r="B18" s="7" t="s">
        <v>67</v>
      </c>
      <c r="C18" s="14"/>
      <c r="D18" s="7">
        <v>11</v>
      </c>
      <c r="E18" s="7"/>
      <c r="F18" s="17"/>
    </row>
    <row r="19" spans="1:6">
      <c r="A19" s="7">
        <v>12</v>
      </c>
      <c r="B19" s="2" t="s">
        <v>73</v>
      </c>
      <c r="C19" s="15"/>
      <c r="D19" s="7">
        <v>12</v>
      </c>
      <c r="E19" s="2"/>
      <c r="F19" s="18"/>
    </row>
    <row r="20" spans="1:6">
      <c r="A20" s="7">
        <v>13</v>
      </c>
      <c r="B20" s="25" t="s">
        <v>75</v>
      </c>
      <c r="C20" s="15"/>
      <c r="D20" s="7">
        <v>13</v>
      </c>
      <c r="E20" s="2"/>
      <c r="F20" s="18"/>
    </row>
    <row r="21" spans="1:6">
      <c r="A21" s="7">
        <v>14</v>
      </c>
      <c r="B21" s="25" t="s">
        <v>90</v>
      </c>
      <c r="C21" s="15"/>
      <c r="D21" s="7">
        <v>14</v>
      </c>
      <c r="E21" s="2"/>
      <c r="F21" s="18"/>
    </row>
    <row r="22" spans="1:6">
      <c r="A22" s="7">
        <v>15</v>
      </c>
      <c r="B22" s="53" t="s">
        <v>93</v>
      </c>
      <c r="C22" s="15"/>
      <c r="D22" s="7">
        <v>15</v>
      </c>
      <c r="E22" s="2"/>
      <c r="F22" s="18"/>
    </row>
    <row r="23" spans="1:6">
      <c r="A23" s="79" t="s">
        <v>9</v>
      </c>
      <c r="B23" s="80"/>
      <c r="C23" s="3">
        <f>SUM(C8:C22)</f>
        <v>62736</v>
      </c>
      <c r="D23" s="12"/>
      <c r="E23" s="13" t="s">
        <v>15</v>
      </c>
      <c r="F23" s="19">
        <f>SUM(F8:F21)</f>
        <v>8830</v>
      </c>
    </row>
    <row r="24" spans="1:6">
      <c r="A24" s="8"/>
      <c r="B24" s="9"/>
      <c r="C24" s="10"/>
      <c r="D24" s="11"/>
    </row>
    <row r="25" spans="1:6">
      <c r="A25" s="96" t="s">
        <v>11</v>
      </c>
      <c r="B25" s="96"/>
      <c r="C25" s="96"/>
      <c r="D25" s="96"/>
      <c r="E25" s="97">
        <f>C23-F23</f>
        <v>53906</v>
      </c>
      <c r="F25" s="98"/>
    </row>
    <row r="26" spans="1:6">
      <c r="A26" s="96" t="s">
        <v>10</v>
      </c>
      <c r="B26" s="96"/>
      <c r="C26" s="103"/>
      <c r="D26" s="104"/>
      <c r="E26" s="104"/>
      <c r="F26" s="105"/>
    </row>
    <row r="27" spans="1:6">
      <c r="A27" s="102" t="s">
        <v>12</v>
      </c>
      <c r="B27" s="102"/>
      <c r="C27" s="102"/>
      <c r="D27" s="102"/>
      <c r="E27" s="102"/>
      <c r="F27" s="102"/>
    </row>
    <row r="28" spans="1:6">
      <c r="A28" s="102"/>
      <c r="B28" s="102"/>
      <c r="C28" s="102"/>
      <c r="D28" s="102"/>
      <c r="E28" s="102"/>
      <c r="F28" s="102"/>
    </row>
    <row r="29" spans="1:6">
      <c r="A29" s="102"/>
      <c r="B29" s="102"/>
      <c r="C29" s="102"/>
      <c r="D29" s="102"/>
      <c r="E29" s="102"/>
      <c r="F29" s="102"/>
    </row>
    <row r="30" spans="1:6">
      <c r="A30" s="102"/>
      <c r="B30" s="102"/>
      <c r="C30" s="102"/>
      <c r="D30" s="102"/>
      <c r="E30" s="102"/>
      <c r="F30" s="102"/>
    </row>
    <row r="33" spans="2:6">
      <c r="B33" s="20" t="s">
        <v>19</v>
      </c>
      <c r="C33" s="20" t="s">
        <v>20</v>
      </c>
      <c r="D33" s="20"/>
      <c r="E33" s="20" t="s">
        <v>16</v>
      </c>
      <c r="F33" s="1">
        <f>17010-8830</f>
        <v>8180</v>
      </c>
    </row>
    <row r="34" spans="2:6">
      <c r="B34" s="52">
        <v>1000</v>
      </c>
      <c r="C34" s="52">
        <v>1</v>
      </c>
      <c r="D34" s="21"/>
      <c r="E34" s="52">
        <f>B34*C34</f>
        <v>1000</v>
      </c>
    </row>
    <row r="35" spans="2:6">
      <c r="B35" s="52">
        <v>500</v>
      </c>
      <c r="C35" s="52">
        <v>9</v>
      </c>
      <c r="D35" s="21"/>
      <c r="E35" s="52">
        <f>B35*C35</f>
        <v>4500</v>
      </c>
    </row>
    <row r="36" spans="2:6">
      <c r="B36" s="52">
        <v>100</v>
      </c>
      <c r="C36" s="52">
        <v>16</v>
      </c>
      <c r="D36" s="21"/>
      <c r="E36" s="52">
        <f t="shared" ref="E36:E42" si="0">B36*C36</f>
        <v>1600</v>
      </c>
    </row>
    <row r="37" spans="2:6">
      <c r="B37" s="52">
        <v>50</v>
      </c>
      <c r="C37" s="52">
        <v>13</v>
      </c>
      <c r="D37" s="21"/>
      <c r="E37" s="52">
        <f t="shared" si="0"/>
        <v>650</v>
      </c>
    </row>
    <row r="38" spans="2:6">
      <c r="B38" s="52">
        <v>20</v>
      </c>
      <c r="C38" s="52">
        <v>16</v>
      </c>
      <c r="D38" s="21"/>
      <c r="E38" s="52">
        <f t="shared" si="0"/>
        <v>320</v>
      </c>
    </row>
    <row r="39" spans="2:6">
      <c r="B39" s="52">
        <v>10</v>
      </c>
      <c r="C39" s="52">
        <v>11</v>
      </c>
      <c r="D39" s="21"/>
      <c r="E39" s="52">
        <f t="shared" si="0"/>
        <v>110</v>
      </c>
    </row>
    <row r="40" spans="2:6">
      <c r="B40" s="52">
        <v>5</v>
      </c>
      <c r="C40" s="50"/>
      <c r="D40" s="21"/>
      <c r="E40" s="52">
        <f t="shared" si="0"/>
        <v>0</v>
      </c>
    </row>
    <row r="41" spans="2:6">
      <c r="B41" s="52">
        <v>2</v>
      </c>
      <c r="C41" s="52"/>
      <c r="D41" s="21"/>
      <c r="E41" s="52">
        <f t="shared" si="0"/>
        <v>0</v>
      </c>
    </row>
    <row r="42" spans="2:6">
      <c r="B42" s="52">
        <v>1</v>
      </c>
      <c r="C42" s="52"/>
      <c r="D42" s="21"/>
      <c r="E42" s="52">
        <f t="shared" si="0"/>
        <v>0</v>
      </c>
    </row>
    <row r="43" spans="2:6">
      <c r="B43" s="51" t="s">
        <v>17</v>
      </c>
      <c r="C43" s="52">
        <f>SUM(C34:C42)</f>
        <v>66</v>
      </c>
      <c r="D43" s="21"/>
      <c r="E43" s="20">
        <f>SUM(E34:E42)</f>
        <v>8180</v>
      </c>
    </row>
    <row r="44" spans="2:6">
      <c r="B44" s="21"/>
      <c r="C44" s="21"/>
      <c r="D44" s="21"/>
      <c r="E44" s="21"/>
    </row>
    <row r="46" spans="2:6">
      <c r="B46" s="1" t="s">
        <v>29</v>
      </c>
      <c r="E46" s="22"/>
    </row>
  </sheetData>
  <mergeCells count="11">
    <mergeCell ref="A25:D25"/>
    <mergeCell ref="E25:F25"/>
    <mergeCell ref="A26:B26"/>
    <mergeCell ref="C26:F26"/>
    <mergeCell ref="A27:F30"/>
    <mergeCell ref="A23:B23"/>
    <mergeCell ref="A1:F1"/>
    <mergeCell ref="A2:F2"/>
    <mergeCell ref="A3:F3"/>
    <mergeCell ref="B4:F4"/>
    <mergeCell ref="A5:E6"/>
  </mergeCells>
  <pageMargins left="1" right="1" top="0.5" bottom="0.5" header="0.5" footer="0.5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6"/>
  <sheetViews>
    <sheetView topLeftCell="A7" workbookViewId="0">
      <selection activeCell="C39" sqref="C39"/>
    </sheetView>
  </sheetViews>
  <sheetFormatPr defaultRowHeight="15"/>
  <cols>
    <col min="1" max="1" width="2.42578125" style="1" customWidth="1"/>
    <col min="2" max="2" width="24.85546875" style="1" customWidth="1"/>
    <col min="3" max="3" width="10.85546875" style="1" customWidth="1"/>
    <col min="4" max="4" width="2.85546875" style="1" customWidth="1"/>
    <col min="5" max="5" width="26.85546875" style="1" customWidth="1"/>
    <col min="6" max="6" width="14.5703125" style="1" customWidth="1"/>
    <col min="7" max="16384" width="9.140625" style="1"/>
  </cols>
  <sheetData>
    <row r="1" spans="1:6" ht="15.75">
      <c r="A1" s="106" t="s">
        <v>0</v>
      </c>
      <c r="B1" s="107"/>
      <c r="C1" s="107"/>
      <c r="D1" s="107"/>
      <c r="E1" s="107"/>
      <c r="F1" s="108"/>
    </row>
    <row r="2" spans="1:6">
      <c r="A2" s="109" t="s">
        <v>1</v>
      </c>
      <c r="B2" s="110"/>
      <c r="C2" s="110"/>
      <c r="D2" s="110"/>
      <c r="E2" s="110"/>
      <c r="F2" s="111"/>
    </row>
    <row r="3" spans="1:6">
      <c r="A3" s="112" t="s">
        <v>2</v>
      </c>
      <c r="B3" s="113"/>
      <c r="C3" s="113"/>
      <c r="D3" s="113"/>
      <c r="E3" s="113"/>
      <c r="F3" s="114"/>
    </row>
    <row r="4" spans="1:6">
      <c r="A4" s="28"/>
      <c r="B4" s="115" t="s">
        <v>28</v>
      </c>
      <c r="C4" s="115"/>
      <c r="D4" s="115"/>
      <c r="E4" s="115"/>
      <c r="F4" s="116"/>
    </row>
    <row r="5" spans="1:6">
      <c r="A5" s="117" t="s">
        <v>3</v>
      </c>
      <c r="B5" s="118"/>
      <c r="C5" s="118"/>
      <c r="D5" s="118"/>
      <c r="E5" s="118"/>
      <c r="F5" s="4" t="s">
        <v>14</v>
      </c>
    </row>
    <row r="6" spans="1:6">
      <c r="A6" s="119"/>
      <c r="B6" s="120"/>
      <c r="C6" s="120"/>
      <c r="D6" s="120"/>
      <c r="E6" s="120"/>
      <c r="F6" s="5" t="s">
        <v>86</v>
      </c>
    </row>
    <row r="7" spans="1:6">
      <c r="A7" s="6" t="s">
        <v>4</v>
      </c>
      <c r="B7" s="6" t="s">
        <v>5</v>
      </c>
      <c r="C7" s="6" t="s">
        <v>6</v>
      </c>
      <c r="D7" s="6" t="s">
        <v>4</v>
      </c>
      <c r="E7" s="6" t="s">
        <v>7</v>
      </c>
      <c r="F7" s="6" t="s">
        <v>6</v>
      </c>
    </row>
    <row r="8" spans="1:6">
      <c r="A8" s="7">
        <v>1</v>
      </c>
      <c r="B8" s="7" t="s">
        <v>8</v>
      </c>
      <c r="C8" s="6">
        <v>68526</v>
      </c>
      <c r="D8" s="7">
        <v>1</v>
      </c>
      <c r="E8" s="7" t="s">
        <v>23</v>
      </c>
      <c r="F8" s="16">
        <v>600</v>
      </c>
    </row>
    <row r="9" spans="1:6">
      <c r="A9" s="7">
        <v>2</v>
      </c>
      <c r="B9" s="7" t="s">
        <v>13</v>
      </c>
      <c r="C9" s="14">
        <f>1200+1800+300+600+600+1800+250+600+600+1200+600+1000+500+250+250+500+500+600+500+600+600+600+600+500+600+600+600</f>
        <v>18350</v>
      </c>
      <c r="D9" s="7">
        <v>2</v>
      </c>
      <c r="E9" s="7" t="s">
        <v>89</v>
      </c>
      <c r="F9" s="17">
        <v>750</v>
      </c>
    </row>
    <row r="10" spans="1:6">
      <c r="A10" s="7">
        <v>3</v>
      </c>
      <c r="B10" s="7" t="s">
        <v>87</v>
      </c>
      <c r="C10" s="14">
        <f>10+10+10+10+10+10+10+10+10+10+10+10+10+10+10+10+10</f>
        <v>170</v>
      </c>
      <c r="D10" s="7"/>
      <c r="E10" s="7" t="s">
        <v>91</v>
      </c>
      <c r="F10" s="17">
        <v>9000</v>
      </c>
    </row>
    <row r="11" spans="1:6">
      <c r="A11" s="7">
        <v>4</v>
      </c>
      <c r="B11" s="7" t="s">
        <v>24</v>
      </c>
      <c r="C11" s="14"/>
      <c r="D11" s="7">
        <v>3</v>
      </c>
      <c r="E11" s="7" t="s">
        <v>92</v>
      </c>
      <c r="F11" s="17">
        <v>200</v>
      </c>
    </row>
    <row r="12" spans="1:6">
      <c r="A12" s="7">
        <v>5</v>
      </c>
      <c r="B12" s="7" t="s">
        <v>21</v>
      </c>
      <c r="C12" s="14"/>
      <c r="D12" s="7"/>
      <c r="E12" s="7" t="s">
        <v>88</v>
      </c>
      <c r="F12" s="17">
        <v>35000</v>
      </c>
    </row>
    <row r="13" spans="1:6">
      <c r="A13" s="7">
        <v>6</v>
      </c>
      <c r="B13" s="7" t="s">
        <v>31</v>
      </c>
      <c r="C13" s="14"/>
      <c r="D13" s="7">
        <v>5</v>
      </c>
      <c r="E13" s="7"/>
      <c r="F13" s="17"/>
    </row>
    <row r="14" spans="1:6">
      <c r="A14" s="7">
        <v>7</v>
      </c>
      <c r="B14" s="7" t="s">
        <v>22</v>
      </c>
      <c r="C14" s="14">
        <f>30</f>
        <v>30</v>
      </c>
      <c r="D14" s="7">
        <v>6</v>
      </c>
      <c r="E14" s="7"/>
      <c r="F14" s="17"/>
    </row>
    <row r="15" spans="1:6">
      <c r="A15" s="7">
        <v>8</v>
      </c>
      <c r="B15" s="7" t="s">
        <v>26</v>
      </c>
      <c r="C15" s="14"/>
      <c r="D15" s="7">
        <v>7</v>
      </c>
      <c r="E15" s="7"/>
      <c r="F15" s="17"/>
    </row>
    <row r="16" spans="1:6">
      <c r="A16" s="7">
        <v>9</v>
      </c>
      <c r="B16" s="7" t="s">
        <v>37</v>
      </c>
      <c r="C16" s="14"/>
      <c r="D16" s="7">
        <v>8</v>
      </c>
      <c r="E16" s="7"/>
      <c r="F16" s="17"/>
    </row>
    <row r="17" spans="1:6">
      <c r="A17" s="7">
        <v>10</v>
      </c>
      <c r="B17" s="25" t="s">
        <v>64</v>
      </c>
      <c r="C17" s="14"/>
      <c r="D17" s="7">
        <v>9</v>
      </c>
      <c r="E17" s="7"/>
      <c r="F17" s="17"/>
    </row>
    <row r="18" spans="1:6">
      <c r="A18" s="7">
        <v>11</v>
      </c>
      <c r="B18" s="7" t="s">
        <v>67</v>
      </c>
      <c r="C18" s="14"/>
      <c r="D18" s="7">
        <v>10</v>
      </c>
      <c r="E18" s="7"/>
      <c r="F18" s="17"/>
    </row>
    <row r="19" spans="1:6">
      <c r="A19" s="7">
        <v>12</v>
      </c>
      <c r="B19" s="2" t="s">
        <v>73</v>
      </c>
      <c r="C19" s="15"/>
      <c r="D19" s="2"/>
      <c r="E19" s="2"/>
      <c r="F19" s="18"/>
    </row>
    <row r="20" spans="1:6">
      <c r="A20" s="7">
        <v>13</v>
      </c>
      <c r="B20" s="25" t="s">
        <v>75</v>
      </c>
      <c r="C20" s="15"/>
      <c r="D20" s="2"/>
      <c r="E20" s="2"/>
      <c r="F20" s="18"/>
    </row>
    <row r="21" spans="1:6">
      <c r="A21" s="7">
        <v>14</v>
      </c>
      <c r="B21" s="25" t="s">
        <v>90</v>
      </c>
      <c r="C21" s="15">
        <f>200</f>
        <v>200</v>
      </c>
      <c r="D21" s="2"/>
      <c r="E21" s="2"/>
      <c r="F21" s="18"/>
    </row>
    <row r="22" spans="1:6">
      <c r="A22" s="7">
        <v>15</v>
      </c>
      <c r="B22" s="53" t="s">
        <v>93</v>
      </c>
      <c r="C22" s="15">
        <v>4000</v>
      </c>
      <c r="D22" s="2"/>
      <c r="E22" s="2"/>
      <c r="F22" s="18"/>
    </row>
    <row r="23" spans="1:6">
      <c r="A23" s="79" t="s">
        <v>9</v>
      </c>
      <c r="B23" s="80"/>
      <c r="C23" s="3">
        <f>SUM(C8:C22)</f>
        <v>91276</v>
      </c>
      <c r="D23" s="12"/>
      <c r="E23" s="13" t="s">
        <v>15</v>
      </c>
      <c r="F23" s="19">
        <f>SUM(F8:F21)</f>
        <v>45550</v>
      </c>
    </row>
    <row r="24" spans="1:6">
      <c r="A24" s="8"/>
      <c r="B24" s="9"/>
      <c r="C24" s="10"/>
      <c r="D24" s="11"/>
    </row>
    <row r="25" spans="1:6">
      <c r="A25" s="96" t="s">
        <v>11</v>
      </c>
      <c r="B25" s="96"/>
      <c r="C25" s="96"/>
      <c r="D25" s="96"/>
      <c r="E25" s="97">
        <f>C23-F23</f>
        <v>45726</v>
      </c>
      <c r="F25" s="98"/>
    </row>
    <row r="26" spans="1:6">
      <c r="A26" s="96" t="s">
        <v>10</v>
      </c>
      <c r="B26" s="96"/>
      <c r="C26" s="103"/>
      <c r="D26" s="104"/>
      <c r="E26" s="104"/>
      <c r="F26" s="105"/>
    </row>
    <row r="27" spans="1:6">
      <c r="A27" s="102" t="s">
        <v>12</v>
      </c>
      <c r="B27" s="102"/>
      <c r="C27" s="102"/>
      <c r="D27" s="102"/>
      <c r="E27" s="102"/>
      <c r="F27" s="102"/>
    </row>
    <row r="28" spans="1:6">
      <c r="A28" s="102"/>
      <c r="B28" s="102"/>
      <c r="C28" s="102"/>
      <c r="D28" s="102"/>
      <c r="E28" s="102"/>
      <c r="F28" s="102"/>
    </row>
    <row r="29" spans="1:6">
      <c r="A29" s="102"/>
      <c r="B29" s="102"/>
      <c r="C29" s="102"/>
      <c r="D29" s="102"/>
      <c r="E29" s="102"/>
      <c r="F29" s="102"/>
    </row>
    <row r="30" spans="1:6">
      <c r="A30" s="102"/>
      <c r="B30" s="102"/>
      <c r="C30" s="102"/>
      <c r="D30" s="102"/>
      <c r="E30" s="102"/>
      <c r="F30" s="102"/>
    </row>
    <row r="33" spans="2:6">
      <c r="B33" s="20" t="s">
        <v>19</v>
      </c>
      <c r="C33" s="20" t="s">
        <v>20</v>
      </c>
      <c r="D33" s="20"/>
      <c r="E33" s="20" t="s">
        <v>16</v>
      </c>
      <c r="F33" s="1">
        <f>22750-10550</f>
        <v>12200</v>
      </c>
    </row>
    <row r="34" spans="2:6">
      <c r="B34" s="49">
        <v>1000</v>
      </c>
      <c r="C34" s="49">
        <v>4</v>
      </c>
      <c r="D34" s="21"/>
      <c r="E34" s="49">
        <f>B34*C34</f>
        <v>4000</v>
      </c>
    </row>
    <row r="35" spans="2:6">
      <c r="B35" s="49">
        <v>500</v>
      </c>
      <c r="C35" s="49">
        <v>13</v>
      </c>
      <c r="D35" s="21"/>
      <c r="E35" s="49">
        <f>B35*C35</f>
        <v>6500</v>
      </c>
    </row>
    <row r="36" spans="2:6">
      <c r="B36" s="49">
        <v>100</v>
      </c>
      <c r="C36" s="49">
        <v>9</v>
      </c>
      <c r="D36" s="21"/>
      <c r="E36" s="49">
        <f t="shared" ref="E36:E42" si="0">B36*C36</f>
        <v>900</v>
      </c>
    </row>
    <row r="37" spans="2:6">
      <c r="B37" s="49">
        <v>50</v>
      </c>
      <c r="C37" s="49"/>
      <c r="D37" s="21"/>
      <c r="E37" s="49">
        <f t="shared" si="0"/>
        <v>0</v>
      </c>
    </row>
    <row r="38" spans="2:6">
      <c r="B38" s="49">
        <v>20</v>
      </c>
      <c r="C38" s="49">
        <v>39</v>
      </c>
      <c r="D38" s="21"/>
      <c r="E38" s="49">
        <f t="shared" si="0"/>
        <v>780</v>
      </c>
    </row>
    <row r="39" spans="2:6">
      <c r="B39" s="49">
        <v>10</v>
      </c>
      <c r="C39" s="49">
        <v>2</v>
      </c>
      <c r="D39" s="21"/>
      <c r="E39" s="49">
        <f t="shared" si="0"/>
        <v>20</v>
      </c>
    </row>
    <row r="40" spans="2:6">
      <c r="B40" s="49">
        <v>5</v>
      </c>
      <c r="C40" s="50"/>
      <c r="D40" s="21"/>
      <c r="E40" s="49">
        <f t="shared" si="0"/>
        <v>0</v>
      </c>
    </row>
    <row r="41" spans="2:6">
      <c r="B41" s="49">
        <v>2</v>
      </c>
      <c r="C41" s="49"/>
      <c r="D41" s="21"/>
      <c r="E41" s="49">
        <f t="shared" si="0"/>
        <v>0</v>
      </c>
    </row>
    <row r="42" spans="2:6">
      <c r="B42" s="49">
        <v>1</v>
      </c>
      <c r="C42" s="49"/>
      <c r="D42" s="21"/>
      <c r="E42" s="49">
        <f t="shared" si="0"/>
        <v>0</v>
      </c>
    </row>
    <row r="43" spans="2:6">
      <c r="B43" s="48" t="s">
        <v>17</v>
      </c>
      <c r="C43" s="49">
        <f>SUM(C34:C42)</f>
        <v>67</v>
      </c>
      <c r="D43" s="21"/>
      <c r="E43" s="20">
        <f>SUM(E34:E42)</f>
        <v>12200</v>
      </c>
    </row>
    <row r="44" spans="2:6">
      <c r="B44" s="21"/>
      <c r="C44" s="21"/>
      <c r="D44" s="21"/>
      <c r="E44" s="21"/>
    </row>
    <row r="46" spans="2:6">
      <c r="B46" s="1" t="s">
        <v>29</v>
      </c>
      <c r="E46" s="22"/>
    </row>
  </sheetData>
  <mergeCells count="11">
    <mergeCell ref="A23:B23"/>
    <mergeCell ref="A1:F1"/>
    <mergeCell ref="A2:F2"/>
    <mergeCell ref="A3:F3"/>
    <mergeCell ref="B4:F4"/>
    <mergeCell ref="A5:E6"/>
    <mergeCell ref="A25:D25"/>
    <mergeCell ref="E25:F25"/>
    <mergeCell ref="A26:B26"/>
    <mergeCell ref="C26:F26"/>
    <mergeCell ref="A27:F30"/>
  </mergeCells>
  <pageMargins left="1" right="1" top="0.5" bottom="0.5" header="0.5" footer="0.5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3"/>
  <sheetViews>
    <sheetView topLeftCell="A7" workbookViewId="0">
      <selection activeCell="F12" sqref="F12"/>
    </sheetView>
  </sheetViews>
  <sheetFormatPr defaultRowHeight="15"/>
  <cols>
    <col min="1" max="1" width="2.42578125" style="1" customWidth="1"/>
    <col min="2" max="2" width="24.85546875" style="1" customWidth="1"/>
    <col min="3" max="3" width="10.85546875" style="1" customWidth="1"/>
    <col min="4" max="4" width="2.85546875" style="1" customWidth="1"/>
    <col min="5" max="5" width="26.85546875" style="1" customWidth="1"/>
    <col min="6" max="6" width="14.5703125" style="1" customWidth="1"/>
    <col min="7" max="16384" width="9.140625" style="1"/>
  </cols>
  <sheetData>
    <row r="1" spans="1:6" ht="15.75">
      <c r="A1" s="106" t="s">
        <v>0</v>
      </c>
      <c r="B1" s="107"/>
      <c r="C1" s="107"/>
      <c r="D1" s="107"/>
      <c r="E1" s="107"/>
      <c r="F1" s="108"/>
    </row>
    <row r="2" spans="1:6">
      <c r="A2" s="109" t="s">
        <v>1</v>
      </c>
      <c r="B2" s="110"/>
      <c r="C2" s="110"/>
      <c r="D2" s="110"/>
      <c r="E2" s="110"/>
      <c r="F2" s="111"/>
    </row>
    <row r="3" spans="1:6">
      <c r="A3" s="112" t="s">
        <v>2</v>
      </c>
      <c r="B3" s="113"/>
      <c r="C3" s="113"/>
      <c r="D3" s="113"/>
      <c r="E3" s="113"/>
      <c r="F3" s="114"/>
    </row>
    <row r="4" spans="1:6">
      <c r="A4" s="28"/>
      <c r="B4" s="115" t="s">
        <v>28</v>
      </c>
      <c r="C4" s="115"/>
      <c r="D4" s="115"/>
      <c r="E4" s="115"/>
      <c r="F4" s="116"/>
    </row>
    <row r="5" spans="1:6">
      <c r="A5" s="117" t="s">
        <v>3</v>
      </c>
      <c r="B5" s="118"/>
      <c r="C5" s="118"/>
      <c r="D5" s="118"/>
      <c r="E5" s="118"/>
      <c r="F5" s="4" t="s">
        <v>14</v>
      </c>
    </row>
    <row r="6" spans="1:6">
      <c r="A6" s="119"/>
      <c r="B6" s="120"/>
      <c r="C6" s="120"/>
      <c r="D6" s="120"/>
      <c r="E6" s="120"/>
      <c r="F6" s="5" t="s">
        <v>76</v>
      </c>
    </row>
    <row r="7" spans="1:6">
      <c r="A7" s="6" t="s">
        <v>4</v>
      </c>
      <c r="B7" s="6" t="s">
        <v>5</v>
      </c>
      <c r="C7" s="6" t="s">
        <v>6</v>
      </c>
      <c r="D7" s="6" t="s">
        <v>4</v>
      </c>
      <c r="E7" s="6" t="s">
        <v>7</v>
      </c>
      <c r="F7" s="6" t="s">
        <v>6</v>
      </c>
    </row>
    <row r="8" spans="1:6">
      <c r="A8" s="7">
        <v>1</v>
      </c>
      <c r="B8" s="7" t="s">
        <v>8</v>
      </c>
      <c r="C8" s="6">
        <v>44426</v>
      </c>
      <c r="D8" s="7">
        <v>1</v>
      </c>
      <c r="E8" s="7" t="s">
        <v>23</v>
      </c>
      <c r="F8" s="16">
        <v>580</v>
      </c>
    </row>
    <row r="9" spans="1:6">
      <c r="A9" s="7">
        <v>2</v>
      </c>
      <c r="B9" s="7" t="s">
        <v>13</v>
      </c>
      <c r="C9" s="14">
        <f>500+250+1500+1000+600+1200+600+600+600+600+1200+1500+250+600+500+600+1200+1350+900+450+500+600+300+500+250+500+250+600+500+600+1800+600+1000+250+500+600+500+300+600+1000+1200+600</f>
        <v>29550</v>
      </c>
      <c r="D9" s="7">
        <v>2</v>
      </c>
      <c r="E9" s="7" t="s">
        <v>81</v>
      </c>
      <c r="F9" s="17">
        <v>55</v>
      </c>
    </row>
    <row r="10" spans="1:6">
      <c r="A10" s="7">
        <v>3</v>
      </c>
      <c r="B10" s="7" t="s">
        <v>24</v>
      </c>
      <c r="C10" s="14">
        <f>1000</f>
        <v>1000</v>
      </c>
      <c r="D10" s="7">
        <v>3</v>
      </c>
      <c r="E10" s="7" t="s">
        <v>82</v>
      </c>
      <c r="F10" s="17">
        <v>35</v>
      </c>
    </row>
    <row r="11" spans="1:6">
      <c r="A11" s="7">
        <v>4</v>
      </c>
      <c r="B11" s="7" t="s">
        <v>21</v>
      </c>
      <c r="C11" s="14"/>
      <c r="D11" s="7">
        <v>4</v>
      </c>
      <c r="E11" s="7" t="s">
        <v>85</v>
      </c>
      <c r="F11" s="17">
        <v>1900</v>
      </c>
    </row>
    <row r="12" spans="1:6">
      <c r="A12" s="7">
        <v>5</v>
      </c>
      <c r="B12" s="7" t="s">
        <v>31</v>
      </c>
      <c r="C12" s="14">
        <f>360</f>
        <v>360</v>
      </c>
      <c r="D12" s="7">
        <v>5</v>
      </c>
      <c r="E12" s="7" t="s">
        <v>83</v>
      </c>
      <c r="F12" s="17">
        <v>4360</v>
      </c>
    </row>
    <row r="13" spans="1:6">
      <c r="A13" s="7">
        <v>6</v>
      </c>
      <c r="B13" s="7" t="s">
        <v>22</v>
      </c>
      <c r="C13" s="14">
        <f>90+30</f>
        <v>120</v>
      </c>
      <c r="D13" s="7">
        <v>6</v>
      </c>
      <c r="E13" s="7" t="s">
        <v>84</v>
      </c>
      <c r="F13" s="17">
        <v>200</v>
      </c>
    </row>
    <row r="14" spans="1:6">
      <c r="A14" s="7">
        <v>7</v>
      </c>
      <c r="B14" s="7" t="s">
        <v>26</v>
      </c>
      <c r="C14" s="14">
        <f>50+50+50+50</f>
        <v>200</v>
      </c>
      <c r="D14" s="7">
        <v>7</v>
      </c>
      <c r="E14" s="7"/>
      <c r="F14" s="17"/>
    </row>
    <row r="15" spans="1:6">
      <c r="A15" s="7">
        <v>8</v>
      </c>
      <c r="B15" s="7" t="s">
        <v>37</v>
      </c>
      <c r="C15" s="14"/>
      <c r="D15" s="7">
        <v>8</v>
      </c>
      <c r="E15" s="7"/>
      <c r="F15" s="17"/>
    </row>
    <row r="16" spans="1:6">
      <c r="A16" s="7">
        <v>9</v>
      </c>
      <c r="B16" s="25" t="s">
        <v>64</v>
      </c>
      <c r="C16" s="14"/>
      <c r="D16" s="7">
        <v>9</v>
      </c>
      <c r="E16" s="7"/>
      <c r="F16" s="17"/>
    </row>
    <row r="17" spans="1:6">
      <c r="A17" s="7">
        <v>10</v>
      </c>
      <c r="B17" s="7" t="s">
        <v>67</v>
      </c>
      <c r="C17" s="14"/>
      <c r="D17" s="7">
        <v>10</v>
      </c>
      <c r="E17" s="7"/>
      <c r="F17" s="17"/>
    </row>
    <row r="18" spans="1:6">
      <c r="A18" s="2">
        <v>11</v>
      </c>
      <c r="B18" s="2" t="s">
        <v>73</v>
      </c>
      <c r="C18" s="15"/>
      <c r="D18" s="2"/>
      <c r="E18" s="2"/>
      <c r="F18" s="18"/>
    </row>
    <row r="19" spans="1:6">
      <c r="A19" s="2">
        <v>12</v>
      </c>
      <c r="B19" s="25" t="s">
        <v>75</v>
      </c>
      <c r="C19" s="15"/>
      <c r="D19" s="2"/>
      <c r="E19" s="2"/>
      <c r="F19" s="18"/>
    </row>
    <row r="20" spans="1:6">
      <c r="A20" s="79" t="s">
        <v>9</v>
      </c>
      <c r="B20" s="80"/>
      <c r="C20" s="3">
        <f>SUM(C8:C19)</f>
        <v>75656</v>
      </c>
      <c r="D20" s="12"/>
      <c r="E20" s="13" t="s">
        <v>15</v>
      </c>
      <c r="F20" s="19">
        <f>SUM(F8:F19)</f>
        <v>7130</v>
      </c>
    </row>
    <row r="21" spans="1:6">
      <c r="A21" s="8"/>
      <c r="B21" s="9"/>
      <c r="C21" s="10"/>
      <c r="D21" s="11"/>
    </row>
    <row r="22" spans="1:6">
      <c r="A22" s="96" t="s">
        <v>11</v>
      </c>
      <c r="B22" s="96"/>
      <c r="C22" s="96"/>
      <c r="D22" s="96"/>
      <c r="E22" s="97">
        <f>C20-F20</f>
        <v>68526</v>
      </c>
      <c r="F22" s="98"/>
    </row>
    <row r="23" spans="1:6">
      <c r="A23" s="96" t="s">
        <v>10</v>
      </c>
      <c r="B23" s="96"/>
      <c r="C23" s="103"/>
      <c r="D23" s="104"/>
      <c r="E23" s="104"/>
      <c r="F23" s="105"/>
    </row>
    <row r="24" spans="1:6">
      <c r="A24" s="102" t="s">
        <v>12</v>
      </c>
      <c r="B24" s="102"/>
      <c r="C24" s="102"/>
      <c r="D24" s="102"/>
      <c r="E24" s="102"/>
      <c r="F24" s="102"/>
    </row>
    <row r="25" spans="1:6">
      <c r="A25" s="102"/>
      <c r="B25" s="102"/>
      <c r="C25" s="102"/>
      <c r="D25" s="102"/>
      <c r="E25" s="102"/>
      <c r="F25" s="102"/>
    </row>
    <row r="26" spans="1:6">
      <c r="A26" s="102"/>
      <c r="B26" s="102"/>
      <c r="C26" s="102"/>
      <c r="D26" s="102"/>
      <c r="E26" s="102"/>
      <c r="F26" s="102"/>
    </row>
    <row r="27" spans="1:6">
      <c r="A27" s="102"/>
      <c r="B27" s="102"/>
      <c r="C27" s="102"/>
      <c r="D27" s="102"/>
      <c r="E27" s="102"/>
      <c r="F27" s="102"/>
    </row>
    <row r="30" spans="1:6">
      <c r="B30" s="20" t="s">
        <v>19</v>
      </c>
      <c r="C30" s="20" t="s">
        <v>20</v>
      </c>
      <c r="D30" s="20"/>
      <c r="E30" s="20" t="s">
        <v>16</v>
      </c>
      <c r="F30" s="1">
        <f>31230-7130</f>
        <v>24100</v>
      </c>
    </row>
    <row r="31" spans="1:6">
      <c r="B31" s="47">
        <v>1000</v>
      </c>
      <c r="C31" s="47">
        <v>6</v>
      </c>
      <c r="D31" s="21"/>
      <c r="E31" s="47">
        <f>B31*C31</f>
        <v>6000</v>
      </c>
    </row>
    <row r="32" spans="1:6">
      <c r="B32" s="47">
        <v>500</v>
      </c>
      <c r="C32" s="47">
        <v>35</v>
      </c>
      <c r="D32" s="21"/>
      <c r="E32" s="47">
        <f>B32*C32</f>
        <v>17500</v>
      </c>
    </row>
    <row r="33" spans="2:5">
      <c r="B33" s="47">
        <v>100</v>
      </c>
      <c r="C33" s="47">
        <v>6</v>
      </c>
      <c r="D33" s="21"/>
      <c r="E33" s="47">
        <f t="shared" ref="E33:E39" si="0">B33*C33</f>
        <v>600</v>
      </c>
    </row>
    <row r="34" spans="2:5">
      <c r="B34" s="47">
        <v>50</v>
      </c>
      <c r="C34" s="47"/>
      <c r="D34" s="21"/>
      <c r="E34" s="47">
        <f t="shared" si="0"/>
        <v>0</v>
      </c>
    </row>
    <row r="35" spans="2:5">
      <c r="B35" s="47">
        <v>20</v>
      </c>
      <c r="C35" s="47"/>
      <c r="D35" s="21"/>
      <c r="E35" s="47">
        <f t="shared" si="0"/>
        <v>0</v>
      </c>
    </row>
    <row r="36" spans="2:5">
      <c r="B36" s="47">
        <v>10</v>
      </c>
      <c r="C36" s="47"/>
      <c r="D36" s="21"/>
      <c r="E36" s="47">
        <f t="shared" si="0"/>
        <v>0</v>
      </c>
    </row>
    <row r="37" spans="2:5">
      <c r="B37" s="47">
        <v>5</v>
      </c>
      <c r="C37" s="50"/>
      <c r="D37" s="21"/>
      <c r="E37" s="47">
        <f t="shared" si="0"/>
        <v>0</v>
      </c>
    </row>
    <row r="38" spans="2:5">
      <c r="B38" s="47">
        <v>2</v>
      </c>
      <c r="C38" s="47"/>
      <c r="D38" s="21"/>
      <c r="E38" s="47">
        <f t="shared" si="0"/>
        <v>0</v>
      </c>
    </row>
    <row r="39" spans="2:5">
      <c r="B39" s="47">
        <v>1</v>
      </c>
      <c r="C39" s="47"/>
      <c r="D39" s="21"/>
      <c r="E39" s="47">
        <f t="shared" si="0"/>
        <v>0</v>
      </c>
    </row>
    <row r="40" spans="2:5">
      <c r="B40" s="46" t="s">
        <v>17</v>
      </c>
      <c r="C40" s="47">
        <f>SUM(C31:C39)</f>
        <v>47</v>
      </c>
      <c r="D40" s="21"/>
      <c r="E40" s="20">
        <f>SUM(E31:E39)</f>
        <v>24100</v>
      </c>
    </row>
    <row r="41" spans="2:5">
      <c r="B41" s="21"/>
      <c r="C41" s="21"/>
      <c r="D41" s="21"/>
      <c r="E41" s="21"/>
    </row>
    <row r="43" spans="2:5">
      <c r="B43" s="1" t="s">
        <v>29</v>
      </c>
      <c r="E43" s="22"/>
    </row>
  </sheetData>
  <mergeCells count="11">
    <mergeCell ref="A22:D22"/>
    <mergeCell ref="E22:F22"/>
    <mergeCell ref="A23:B23"/>
    <mergeCell ref="C23:F23"/>
    <mergeCell ref="A24:F27"/>
    <mergeCell ref="A20:B20"/>
    <mergeCell ref="A1:F1"/>
    <mergeCell ref="A2:F2"/>
    <mergeCell ref="A3:F3"/>
    <mergeCell ref="B4:F4"/>
    <mergeCell ref="A5:E6"/>
  </mergeCells>
  <pageMargins left="1" right="1" top="0.5" bottom="0.5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43"/>
  <sheetViews>
    <sheetView topLeftCell="A7" workbookViewId="0">
      <selection activeCell="E45" sqref="E45"/>
    </sheetView>
  </sheetViews>
  <sheetFormatPr defaultRowHeight="15"/>
  <cols>
    <col min="1" max="1" width="2.42578125" style="1" customWidth="1"/>
    <col min="2" max="2" width="24.85546875" style="1" customWidth="1"/>
    <col min="3" max="3" width="10.85546875" style="1" customWidth="1"/>
    <col min="4" max="4" width="2.85546875" style="1" customWidth="1"/>
    <col min="5" max="5" width="26.85546875" style="1" customWidth="1"/>
    <col min="6" max="6" width="14.5703125" style="1" customWidth="1"/>
    <col min="7" max="16384" width="9.140625" style="1"/>
  </cols>
  <sheetData>
    <row r="1" spans="1:6" ht="15.75">
      <c r="A1" s="106" t="s">
        <v>0</v>
      </c>
      <c r="B1" s="107"/>
      <c r="C1" s="107"/>
      <c r="D1" s="107"/>
      <c r="E1" s="107"/>
      <c r="F1" s="108"/>
    </row>
    <row r="2" spans="1:6">
      <c r="A2" s="109" t="s">
        <v>1</v>
      </c>
      <c r="B2" s="110"/>
      <c r="C2" s="110"/>
      <c r="D2" s="110"/>
      <c r="E2" s="110"/>
      <c r="F2" s="111"/>
    </row>
    <row r="3" spans="1:6">
      <c r="A3" s="112" t="s">
        <v>2</v>
      </c>
      <c r="B3" s="113"/>
      <c r="C3" s="113"/>
      <c r="D3" s="113"/>
      <c r="E3" s="113"/>
      <c r="F3" s="114"/>
    </row>
    <row r="4" spans="1:6">
      <c r="A4" s="28"/>
      <c r="B4" s="115" t="s">
        <v>28</v>
      </c>
      <c r="C4" s="115"/>
      <c r="D4" s="115"/>
      <c r="E4" s="115"/>
      <c r="F4" s="116"/>
    </row>
    <row r="5" spans="1:6">
      <c r="A5" s="117" t="s">
        <v>3</v>
      </c>
      <c r="B5" s="118"/>
      <c r="C5" s="118"/>
      <c r="D5" s="118"/>
      <c r="E5" s="118"/>
      <c r="F5" s="4" t="s">
        <v>14</v>
      </c>
    </row>
    <row r="6" spans="1:6">
      <c r="A6" s="119"/>
      <c r="B6" s="120"/>
      <c r="C6" s="120"/>
      <c r="D6" s="120"/>
      <c r="E6" s="120"/>
      <c r="F6" s="5" t="s">
        <v>72</v>
      </c>
    </row>
    <row r="7" spans="1:6">
      <c r="A7" s="6" t="s">
        <v>4</v>
      </c>
      <c r="B7" s="6" t="s">
        <v>5</v>
      </c>
      <c r="C7" s="6" t="s">
        <v>6</v>
      </c>
      <c r="D7" s="6" t="s">
        <v>4</v>
      </c>
      <c r="E7" s="6" t="s">
        <v>7</v>
      </c>
      <c r="F7" s="6" t="s">
        <v>6</v>
      </c>
    </row>
    <row r="8" spans="1:6">
      <c r="A8" s="7">
        <v>1</v>
      </c>
      <c r="B8" s="7" t="s">
        <v>8</v>
      </c>
      <c r="C8" s="6">
        <v>163199</v>
      </c>
      <c r="D8" s="7">
        <v>1</v>
      </c>
      <c r="E8" s="7" t="s">
        <v>23</v>
      </c>
      <c r="F8" s="16">
        <v>700</v>
      </c>
    </row>
    <row r="9" spans="1:6">
      <c r="A9" s="7">
        <v>2</v>
      </c>
      <c r="B9" s="7" t="s">
        <v>13</v>
      </c>
      <c r="C9" s="14">
        <f>600+600+1200+1000+1000+600+500+300+600+300+500+500+250+400+300+600+1800+600+600+600+500+300+500+1200+500+250+2400+500+300+1800</f>
        <v>21100</v>
      </c>
      <c r="D9" s="7">
        <v>2</v>
      </c>
      <c r="E9" s="7" t="s">
        <v>74</v>
      </c>
      <c r="F9" s="17">
        <v>100</v>
      </c>
    </row>
    <row r="10" spans="1:6">
      <c r="A10" s="7">
        <v>3</v>
      </c>
      <c r="B10" s="7" t="s">
        <v>24</v>
      </c>
      <c r="C10" s="14">
        <f>5520</f>
        <v>5520</v>
      </c>
      <c r="D10" s="7">
        <v>3</v>
      </c>
      <c r="E10" s="7" t="s">
        <v>69</v>
      </c>
      <c r="F10" s="17">
        <v>1500</v>
      </c>
    </row>
    <row r="11" spans="1:6">
      <c r="A11" s="7">
        <v>4</v>
      </c>
      <c r="B11" s="7" t="s">
        <v>21</v>
      </c>
      <c r="C11" s="14"/>
      <c r="D11" s="7">
        <v>4</v>
      </c>
      <c r="E11" s="7" t="s">
        <v>80</v>
      </c>
      <c r="F11" s="17">
        <v>100</v>
      </c>
    </row>
    <row r="12" spans="1:6">
      <c r="A12" s="7">
        <v>5</v>
      </c>
      <c r="B12" s="7" t="s">
        <v>31</v>
      </c>
      <c r="C12" s="14">
        <f>360</f>
        <v>360</v>
      </c>
      <c r="D12" s="7">
        <v>5</v>
      </c>
      <c r="E12" s="7" t="s">
        <v>80</v>
      </c>
      <c r="F12" s="17">
        <v>1696</v>
      </c>
    </row>
    <row r="13" spans="1:6">
      <c r="A13" s="7">
        <v>6</v>
      </c>
      <c r="B13" s="7" t="s">
        <v>22</v>
      </c>
      <c r="C13" s="14">
        <f>60+20+50+50</f>
        <v>180</v>
      </c>
      <c r="D13" s="7">
        <v>6</v>
      </c>
      <c r="E13" s="7" t="s">
        <v>77</v>
      </c>
      <c r="F13" s="17">
        <v>20</v>
      </c>
    </row>
    <row r="14" spans="1:6">
      <c r="A14" s="7">
        <v>7</v>
      </c>
      <c r="B14" s="7" t="s">
        <v>26</v>
      </c>
      <c r="C14" s="14">
        <v>50</v>
      </c>
      <c r="D14" s="7">
        <v>7</v>
      </c>
      <c r="E14" s="7" t="s">
        <v>78</v>
      </c>
      <c r="F14" s="17">
        <v>152067</v>
      </c>
    </row>
    <row r="15" spans="1:6">
      <c r="A15" s="7">
        <v>8</v>
      </c>
      <c r="B15" s="7" t="s">
        <v>79</v>
      </c>
      <c r="C15" s="14">
        <v>500</v>
      </c>
      <c r="D15" s="7">
        <v>8</v>
      </c>
      <c r="E15" s="7"/>
      <c r="F15" s="17"/>
    </row>
    <row r="16" spans="1:6">
      <c r="A16" s="7">
        <v>9</v>
      </c>
      <c r="B16" s="25" t="s">
        <v>64</v>
      </c>
      <c r="C16" s="14"/>
      <c r="D16" s="7">
        <v>9</v>
      </c>
      <c r="E16" s="7"/>
      <c r="F16" s="17"/>
    </row>
    <row r="17" spans="1:6">
      <c r="A17" s="7">
        <v>10</v>
      </c>
      <c r="B17" s="7" t="s">
        <v>67</v>
      </c>
      <c r="C17" s="14"/>
      <c r="D17" s="7">
        <v>10</v>
      </c>
      <c r="E17" s="7"/>
      <c r="F17" s="17"/>
    </row>
    <row r="18" spans="1:6">
      <c r="A18" s="2">
        <v>11</v>
      </c>
      <c r="B18" s="2" t="s">
        <v>73</v>
      </c>
      <c r="C18" s="15">
        <v>100</v>
      </c>
      <c r="D18" s="2"/>
      <c r="E18" s="2"/>
      <c r="F18" s="18"/>
    </row>
    <row r="19" spans="1:6">
      <c r="A19" s="2">
        <v>12</v>
      </c>
      <c r="B19" s="25" t="s">
        <v>75</v>
      </c>
      <c r="C19" s="15">
        <v>9600</v>
      </c>
      <c r="D19" s="2"/>
      <c r="E19" s="2"/>
      <c r="F19" s="18"/>
    </row>
    <row r="20" spans="1:6">
      <c r="A20" s="79" t="s">
        <v>9</v>
      </c>
      <c r="B20" s="80"/>
      <c r="C20" s="3">
        <f>SUM(C8:C19)</f>
        <v>200609</v>
      </c>
      <c r="D20" s="12"/>
      <c r="E20" s="13" t="s">
        <v>15</v>
      </c>
      <c r="F20" s="19">
        <f>SUM(F8:F19)</f>
        <v>156183</v>
      </c>
    </row>
    <row r="21" spans="1:6">
      <c r="A21" s="8"/>
      <c r="B21" s="9"/>
      <c r="C21" s="10"/>
      <c r="D21" s="11"/>
    </row>
    <row r="22" spans="1:6">
      <c r="A22" s="96" t="s">
        <v>11</v>
      </c>
      <c r="B22" s="96"/>
      <c r="C22" s="96"/>
      <c r="D22" s="96"/>
      <c r="E22" s="97">
        <f>C20-F20</f>
        <v>44426</v>
      </c>
      <c r="F22" s="98"/>
    </row>
    <row r="23" spans="1:6">
      <c r="A23" s="96" t="s">
        <v>10</v>
      </c>
      <c r="B23" s="96"/>
      <c r="C23" s="103"/>
      <c r="D23" s="104"/>
      <c r="E23" s="104"/>
      <c r="F23" s="105"/>
    </row>
    <row r="24" spans="1:6">
      <c r="A24" s="102" t="s">
        <v>12</v>
      </c>
      <c r="B24" s="102"/>
      <c r="C24" s="102"/>
      <c r="D24" s="102"/>
      <c r="E24" s="102"/>
      <c r="F24" s="102"/>
    </row>
    <row r="25" spans="1:6">
      <c r="A25" s="102"/>
      <c r="B25" s="102"/>
      <c r="C25" s="102"/>
      <c r="D25" s="102"/>
      <c r="E25" s="102"/>
      <c r="F25" s="102"/>
    </row>
    <row r="26" spans="1:6">
      <c r="A26" s="102"/>
      <c r="B26" s="102"/>
      <c r="C26" s="102"/>
      <c r="D26" s="102"/>
      <c r="E26" s="102"/>
      <c r="F26" s="102"/>
    </row>
    <row r="27" spans="1:6">
      <c r="A27" s="102"/>
      <c r="B27" s="102"/>
      <c r="C27" s="102"/>
      <c r="D27" s="102"/>
      <c r="E27" s="102"/>
      <c r="F27" s="102"/>
    </row>
    <row r="30" spans="1:6">
      <c r="B30" s="20" t="s">
        <v>19</v>
      </c>
      <c r="C30" s="20" t="s">
        <v>20</v>
      </c>
      <c r="D30" s="20"/>
      <c r="E30" s="20" t="s">
        <v>16</v>
      </c>
    </row>
    <row r="31" spans="1:6">
      <c r="B31" s="45">
        <v>1000</v>
      </c>
      <c r="C31" s="45">
        <v>13</v>
      </c>
      <c r="D31" s="21"/>
      <c r="E31" s="45">
        <f>B31*C31</f>
        <v>13000</v>
      </c>
    </row>
    <row r="32" spans="1:6">
      <c r="B32" s="45">
        <v>500</v>
      </c>
      <c r="C32" s="45">
        <v>34</v>
      </c>
      <c r="D32" s="21"/>
      <c r="E32" s="45">
        <f>B32*C32</f>
        <v>17000</v>
      </c>
    </row>
    <row r="33" spans="2:5">
      <c r="B33" s="45">
        <v>100</v>
      </c>
      <c r="C33" s="45">
        <v>12</v>
      </c>
      <c r="D33" s="21"/>
      <c r="E33" s="45">
        <f t="shared" ref="E33:E39" si="0">B33*C33</f>
        <v>1200</v>
      </c>
    </row>
    <row r="34" spans="2:5">
      <c r="B34" s="45">
        <v>50</v>
      </c>
      <c r="C34" s="45"/>
      <c r="D34" s="21"/>
      <c r="E34" s="45">
        <f t="shared" si="0"/>
        <v>0</v>
      </c>
    </row>
    <row r="35" spans="2:5">
      <c r="B35" s="45">
        <v>20</v>
      </c>
      <c r="C35" s="45"/>
      <c r="D35" s="21"/>
      <c r="E35" s="45">
        <f t="shared" si="0"/>
        <v>0</v>
      </c>
    </row>
    <row r="36" spans="2:5">
      <c r="B36" s="45">
        <v>10</v>
      </c>
      <c r="C36" s="45"/>
      <c r="D36" s="21"/>
      <c r="E36" s="45">
        <f t="shared" si="0"/>
        <v>0</v>
      </c>
    </row>
    <row r="37" spans="2:5">
      <c r="B37" s="45">
        <v>5</v>
      </c>
      <c r="C37" s="45"/>
      <c r="D37" s="21"/>
      <c r="E37" s="45">
        <f t="shared" si="0"/>
        <v>0</v>
      </c>
    </row>
    <row r="38" spans="2:5">
      <c r="B38" s="45">
        <v>2</v>
      </c>
      <c r="C38" s="45"/>
      <c r="D38" s="21"/>
      <c r="E38" s="45">
        <f t="shared" si="0"/>
        <v>0</v>
      </c>
    </row>
    <row r="39" spans="2:5">
      <c r="B39" s="45">
        <v>1</v>
      </c>
      <c r="C39" s="45"/>
      <c r="D39" s="21"/>
      <c r="E39" s="45">
        <f t="shared" si="0"/>
        <v>0</v>
      </c>
    </row>
    <row r="40" spans="2:5">
      <c r="B40" s="44" t="s">
        <v>17</v>
      </c>
      <c r="C40" s="45">
        <f>SUM(C31:C39)</f>
        <v>59</v>
      </c>
      <c r="D40" s="21"/>
      <c r="E40" s="20">
        <f>SUM(E31:E39)</f>
        <v>31200</v>
      </c>
    </row>
    <row r="41" spans="2:5">
      <c r="B41" s="21"/>
      <c r="C41" s="21"/>
      <c r="D41" s="21"/>
      <c r="E41" s="21"/>
    </row>
    <row r="43" spans="2:5">
      <c r="B43" s="1" t="s">
        <v>29</v>
      </c>
      <c r="E43" s="22"/>
    </row>
  </sheetData>
  <mergeCells count="11">
    <mergeCell ref="A20:B20"/>
    <mergeCell ref="A1:F1"/>
    <mergeCell ref="A2:F2"/>
    <mergeCell ref="A3:F3"/>
    <mergeCell ref="B4:F4"/>
    <mergeCell ref="A5:E6"/>
    <mergeCell ref="A22:D22"/>
    <mergeCell ref="E22:F22"/>
    <mergeCell ref="A23:B23"/>
    <mergeCell ref="C23:F23"/>
    <mergeCell ref="A24:F27"/>
  </mergeCells>
  <pageMargins left="1" right="1" top="0.5" bottom="0.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43"/>
  <sheetViews>
    <sheetView workbookViewId="0">
      <selection activeCell="B16" sqref="B16"/>
    </sheetView>
  </sheetViews>
  <sheetFormatPr defaultRowHeight="15"/>
  <cols>
    <col min="1" max="1" width="2.42578125" style="1" customWidth="1"/>
    <col min="2" max="2" width="24.85546875" style="1" customWidth="1"/>
    <col min="3" max="3" width="10.85546875" style="1" customWidth="1"/>
    <col min="4" max="4" width="2.85546875" style="1" customWidth="1"/>
    <col min="5" max="5" width="26.85546875" style="1" customWidth="1"/>
    <col min="6" max="6" width="14.5703125" style="1" customWidth="1"/>
    <col min="7" max="16384" width="9.140625" style="1"/>
  </cols>
  <sheetData>
    <row r="1" spans="1:6" ht="15.75">
      <c r="A1" s="106" t="s">
        <v>0</v>
      </c>
      <c r="B1" s="107"/>
      <c r="C1" s="107"/>
      <c r="D1" s="107"/>
      <c r="E1" s="107"/>
      <c r="F1" s="108"/>
    </row>
    <row r="2" spans="1:6">
      <c r="A2" s="109" t="s">
        <v>1</v>
      </c>
      <c r="B2" s="110"/>
      <c r="C2" s="110"/>
      <c r="D2" s="110"/>
      <c r="E2" s="110"/>
      <c r="F2" s="111"/>
    </row>
    <row r="3" spans="1:6">
      <c r="A3" s="112" t="s">
        <v>2</v>
      </c>
      <c r="B3" s="113"/>
      <c r="C3" s="113"/>
      <c r="D3" s="113"/>
      <c r="E3" s="113"/>
      <c r="F3" s="114"/>
    </row>
    <row r="4" spans="1:6">
      <c r="A4" s="28"/>
      <c r="B4" s="115" t="s">
        <v>28</v>
      </c>
      <c r="C4" s="115"/>
      <c r="D4" s="115"/>
      <c r="E4" s="115"/>
      <c r="F4" s="116"/>
    </row>
    <row r="5" spans="1:6">
      <c r="A5" s="117" t="s">
        <v>3</v>
      </c>
      <c r="B5" s="118"/>
      <c r="C5" s="118"/>
      <c r="D5" s="118"/>
      <c r="E5" s="118"/>
      <c r="F5" s="4" t="s">
        <v>14</v>
      </c>
    </row>
    <row r="6" spans="1:6">
      <c r="A6" s="119"/>
      <c r="B6" s="120"/>
      <c r="C6" s="120"/>
      <c r="D6" s="120"/>
      <c r="E6" s="120"/>
      <c r="F6" s="5" t="s">
        <v>71</v>
      </c>
    </row>
    <row r="7" spans="1:6">
      <c r="A7" s="6" t="s">
        <v>4</v>
      </c>
      <c r="B7" s="6" t="s">
        <v>5</v>
      </c>
      <c r="C7" s="6" t="s">
        <v>6</v>
      </c>
      <c r="D7" s="6" t="s">
        <v>4</v>
      </c>
      <c r="E7" s="6" t="s">
        <v>7</v>
      </c>
      <c r="F7" s="6" t="s">
        <v>6</v>
      </c>
    </row>
    <row r="8" spans="1:6">
      <c r="A8" s="7">
        <v>1</v>
      </c>
      <c r="B8" s="7" t="s">
        <v>8</v>
      </c>
      <c r="C8" s="6">
        <v>117684</v>
      </c>
      <c r="D8" s="7">
        <v>1</v>
      </c>
      <c r="E8" s="7" t="s">
        <v>23</v>
      </c>
      <c r="F8" s="16">
        <v>600</v>
      </c>
    </row>
    <row r="9" spans="1:6">
      <c r="A9" s="7">
        <v>2</v>
      </c>
      <c r="B9" s="7" t="s">
        <v>13</v>
      </c>
      <c r="C9" s="14">
        <f>1000+500+600+600+600+500+600+600+1000+600+500+600+500+500+250+500+1000+500+500+600+500+300+500+500+600+600+600+600+600+600+500+600+500+500+300+600+300+500+300+500+600+1200+500+250+600+300+600+600+600+600+300+600</f>
        <v>28800</v>
      </c>
      <c r="D9" s="7">
        <v>2</v>
      </c>
      <c r="E9" s="7" t="s">
        <v>65</v>
      </c>
      <c r="F9" s="17">
        <v>70</v>
      </c>
    </row>
    <row r="10" spans="1:6">
      <c r="A10" s="7">
        <v>3</v>
      </c>
      <c r="B10" s="7" t="s">
        <v>24</v>
      </c>
      <c r="C10" s="14"/>
      <c r="D10" s="7">
        <v>3</v>
      </c>
      <c r="E10" s="7" t="s">
        <v>66</v>
      </c>
      <c r="F10" s="17">
        <v>195</v>
      </c>
    </row>
    <row r="11" spans="1:6">
      <c r="A11" s="7">
        <v>4</v>
      </c>
      <c r="B11" s="7" t="s">
        <v>21</v>
      </c>
      <c r="C11" s="14"/>
      <c r="D11" s="7">
        <v>4</v>
      </c>
      <c r="E11" s="7" t="s">
        <v>69</v>
      </c>
      <c r="F11" s="17">
        <v>1200</v>
      </c>
    </row>
    <row r="12" spans="1:6">
      <c r="A12" s="7">
        <v>5</v>
      </c>
      <c r="B12" s="7" t="s">
        <v>31</v>
      </c>
      <c r="C12" s="14">
        <f>540+270</f>
        <v>810</v>
      </c>
      <c r="D12" s="7">
        <v>5</v>
      </c>
      <c r="E12" s="7" t="s">
        <v>68</v>
      </c>
      <c r="F12" s="17">
        <v>10</v>
      </c>
    </row>
    <row r="13" spans="1:6">
      <c r="A13" s="7">
        <v>6</v>
      </c>
      <c r="B13" s="7" t="s">
        <v>22</v>
      </c>
      <c r="C13" s="14">
        <f>30</f>
        <v>30</v>
      </c>
      <c r="D13" s="7">
        <v>6</v>
      </c>
      <c r="E13" s="7" t="s">
        <v>70</v>
      </c>
      <c r="F13" s="17">
        <v>11500</v>
      </c>
    </row>
    <row r="14" spans="1:6">
      <c r="A14" s="7">
        <v>7</v>
      </c>
      <c r="B14" s="7" t="s">
        <v>26</v>
      </c>
      <c r="C14" s="14">
        <f>50</f>
        <v>50</v>
      </c>
      <c r="D14" s="7">
        <v>7</v>
      </c>
      <c r="E14" s="7"/>
      <c r="F14" s="17"/>
    </row>
    <row r="15" spans="1:6">
      <c r="A15" s="7">
        <v>8</v>
      </c>
      <c r="B15" s="7" t="s">
        <v>37</v>
      </c>
      <c r="C15" s="14"/>
      <c r="D15" s="7">
        <v>8</v>
      </c>
      <c r="E15" s="7"/>
      <c r="F15" s="17"/>
    </row>
    <row r="16" spans="1:6">
      <c r="A16" s="7">
        <v>9</v>
      </c>
      <c r="B16" s="25" t="s">
        <v>64</v>
      </c>
      <c r="C16" s="14">
        <v>26400</v>
      </c>
      <c r="D16" s="7">
        <v>9</v>
      </c>
      <c r="E16" s="7"/>
      <c r="F16" s="17"/>
    </row>
    <row r="17" spans="1:6">
      <c r="A17" s="7">
        <v>10</v>
      </c>
      <c r="B17" s="7" t="s">
        <v>67</v>
      </c>
      <c r="C17" s="14">
        <v>3000</v>
      </c>
      <c r="D17" s="7">
        <v>10</v>
      </c>
      <c r="E17" s="7"/>
      <c r="F17" s="17"/>
    </row>
    <row r="18" spans="1:6">
      <c r="A18" s="2"/>
      <c r="B18" s="2"/>
      <c r="C18" s="15"/>
      <c r="D18" s="2"/>
      <c r="E18" s="2"/>
      <c r="F18" s="18"/>
    </row>
    <row r="19" spans="1:6">
      <c r="A19" s="2"/>
      <c r="B19" s="2"/>
      <c r="C19" s="15"/>
      <c r="D19" s="2"/>
      <c r="E19" s="2"/>
      <c r="F19" s="18"/>
    </row>
    <row r="20" spans="1:6">
      <c r="A20" s="79" t="s">
        <v>9</v>
      </c>
      <c r="B20" s="80"/>
      <c r="C20" s="3">
        <f>SUM(C8:C19)</f>
        <v>176774</v>
      </c>
      <c r="D20" s="12"/>
      <c r="E20" s="13" t="s">
        <v>15</v>
      </c>
      <c r="F20" s="19">
        <f>SUM(F8:F19)</f>
        <v>13575</v>
      </c>
    </row>
    <row r="21" spans="1:6">
      <c r="A21" s="8"/>
      <c r="B21" s="9"/>
      <c r="C21" s="10"/>
      <c r="D21" s="11"/>
    </row>
    <row r="22" spans="1:6">
      <c r="A22" s="96" t="s">
        <v>11</v>
      </c>
      <c r="B22" s="96"/>
      <c r="C22" s="96"/>
      <c r="D22" s="96"/>
      <c r="E22" s="97">
        <f>C20-F20</f>
        <v>163199</v>
      </c>
      <c r="F22" s="98"/>
    </row>
    <row r="23" spans="1:6">
      <c r="A23" s="96" t="s">
        <v>10</v>
      </c>
      <c r="B23" s="96"/>
      <c r="C23" s="103"/>
      <c r="D23" s="104"/>
      <c r="E23" s="104"/>
      <c r="F23" s="105"/>
    </row>
    <row r="24" spans="1:6">
      <c r="A24" s="102" t="s">
        <v>12</v>
      </c>
      <c r="B24" s="102"/>
      <c r="C24" s="102"/>
      <c r="D24" s="102"/>
      <c r="E24" s="102"/>
      <c r="F24" s="102"/>
    </row>
    <row r="25" spans="1:6">
      <c r="A25" s="102"/>
      <c r="B25" s="102"/>
      <c r="C25" s="102"/>
      <c r="D25" s="102"/>
      <c r="E25" s="102"/>
      <c r="F25" s="102"/>
    </row>
    <row r="26" spans="1:6">
      <c r="A26" s="102"/>
      <c r="B26" s="102"/>
      <c r="C26" s="102"/>
      <c r="D26" s="102"/>
      <c r="E26" s="102"/>
      <c r="F26" s="102"/>
    </row>
    <row r="27" spans="1:6">
      <c r="A27" s="102"/>
      <c r="B27" s="102"/>
      <c r="C27" s="102"/>
      <c r="D27" s="102"/>
      <c r="E27" s="102"/>
      <c r="F27" s="102"/>
    </row>
    <row r="30" spans="1:6">
      <c r="B30" s="20" t="s">
        <v>19</v>
      </c>
      <c r="C30" s="20" t="s">
        <v>20</v>
      </c>
      <c r="D30" s="20"/>
      <c r="E30" s="20" t="s">
        <v>16</v>
      </c>
    </row>
    <row r="31" spans="1:6">
      <c r="B31" s="43">
        <v>1000</v>
      </c>
      <c r="C31" s="43">
        <v>16</v>
      </c>
      <c r="D31" s="21"/>
      <c r="E31" s="43">
        <f>B31*C31</f>
        <v>16000</v>
      </c>
    </row>
    <row r="32" spans="1:6">
      <c r="B32" s="43">
        <v>500</v>
      </c>
      <c r="C32" s="43">
        <v>57</v>
      </c>
      <c r="D32" s="21"/>
      <c r="E32" s="43">
        <f>B32*C32</f>
        <v>28500</v>
      </c>
    </row>
    <row r="33" spans="2:5">
      <c r="B33" s="43">
        <v>100</v>
      </c>
      <c r="C33" s="43">
        <v>10</v>
      </c>
      <c r="D33" s="21"/>
      <c r="E33" s="43">
        <f t="shared" ref="E33:E39" si="0">B33*C33</f>
        <v>1000</v>
      </c>
    </row>
    <row r="34" spans="2:5">
      <c r="B34" s="43">
        <v>50</v>
      </c>
      <c r="C34" s="43"/>
      <c r="D34" s="21"/>
      <c r="E34" s="43">
        <f t="shared" si="0"/>
        <v>0</v>
      </c>
    </row>
    <row r="35" spans="2:5">
      <c r="B35" s="43">
        <v>20</v>
      </c>
      <c r="C35" s="43"/>
      <c r="D35" s="21"/>
      <c r="E35" s="43">
        <f t="shared" si="0"/>
        <v>0</v>
      </c>
    </row>
    <row r="36" spans="2:5">
      <c r="B36" s="43">
        <v>10</v>
      </c>
      <c r="C36" s="43">
        <v>1</v>
      </c>
      <c r="D36" s="21"/>
      <c r="E36" s="43">
        <f t="shared" si="0"/>
        <v>10</v>
      </c>
    </row>
    <row r="37" spans="2:5">
      <c r="B37" s="43">
        <v>5</v>
      </c>
      <c r="C37" s="43">
        <v>1</v>
      </c>
      <c r="D37" s="21"/>
      <c r="E37" s="43">
        <f t="shared" si="0"/>
        <v>5</v>
      </c>
    </row>
    <row r="38" spans="2:5">
      <c r="B38" s="43">
        <v>2</v>
      </c>
      <c r="C38" s="43"/>
      <c r="D38" s="21"/>
      <c r="E38" s="43">
        <f t="shared" si="0"/>
        <v>0</v>
      </c>
    </row>
    <row r="39" spans="2:5">
      <c r="B39" s="43">
        <v>1</v>
      </c>
      <c r="C39" s="43"/>
      <c r="D39" s="21"/>
      <c r="E39" s="43">
        <f t="shared" si="0"/>
        <v>0</v>
      </c>
    </row>
    <row r="40" spans="2:5">
      <c r="B40" s="42" t="s">
        <v>17</v>
      </c>
      <c r="C40" s="43">
        <f>SUM(C31:C39)</f>
        <v>85</v>
      </c>
      <c r="D40" s="21"/>
      <c r="E40" s="20">
        <f>SUM(E31:E39)</f>
        <v>45515</v>
      </c>
    </row>
    <row r="41" spans="2:5">
      <c r="B41" s="21"/>
      <c r="C41" s="21"/>
      <c r="D41" s="21"/>
      <c r="E41" s="21"/>
    </row>
    <row r="43" spans="2:5">
      <c r="B43" s="1" t="s">
        <v>29</v>
      </c>
      <c r="E43" s="22"/>
    </row>
  </sheetData>
  <mergeCells count="11">
    <mergeCell ref="A22:D22"/>
    <mergeCell ref="E22:F22"/>
    <mergeCell ref="A23:B23"/>
    <mergeCell ref="C23:F23"/>
    <mergeCell ref="A24:F27"/>
    <mergeCell ref="A20:B20"/>
    <mergeCell ref="A1:F1"/>
    <mergeCell ref="A2:F2"/>
    <mergeCell ref="A3:F3"/>
    <mergeCell ref="B4:F4"/>
    <mergeCell ref="A5:E6"/>
  </mergeCells>
  <pageMargins left="1" right="1" top="0.5" bottom="0.5" header="0.5" footer="0.5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43"/>
  <sheetViews>
    <sheetView workbookViewId="0">
      <selection activeCell="A24" sqref="A24:F27"/>
    </sheetView>
  </sheetViews>
  <sheetFormatPr defaultRowHeight="15"/>
  <cols>
    <col min="1" max="1" width="2.42578125" style="1" customWidth="1"/>
    <col min="2" max="2" width="24.85546875" style="1" customWidth="1"/>
    <col min="3" max="3" width="10.85546875" style="1" customWidth="1"/>
    <col min="4" max="4" width="2.85546875" style="1" customWidth="1"/>
    <col min="5" max="5" width="26.85546875" style="1" customWidth="1"/>
    <col min="6" max="6" width="14.5703125" style="1" customWidth="1"/>
    <col min="7" max="16384" width="9.140625" style="1"/>
  </cols>
  <sheetData>
    <row r="1" spans="1:6" ht="15.75">
      <c r="A1" s="106" t="s">
        <v>0</v>
      </c>
      <c r="B1" s="107"/>
      <c r="C1" s="107"/>
      <c r="D1" s="107"/>
      <c r="E1" s="107"/>
      <c r="F1" s="108"/>
    </row>
    <row r="2" spans="1:6">
      <c r="A2" s="109" t="s">
        <v>1</v>
      </c>
      <c r="B2" s="110"/>
      <c r="C2" s="110"/>
      <c r="D2" s="110"/>
      <c r="E2" s="110"/>
      <c r="F2" s="111"/>
    </row>
    <row r="3" spans="1:6">
      <c r="A3" s="112" t="s">
        <v>2</v>
      </c>
      <c r="B3" s="113"/>
      <c r="C3" s="113"/>
      <c r="D3" s="113"/>
      <c r="E3" s="113"/>
      <c r="F3" s="114"/>
    </row>
    <row r="4" spans="1:6">
      <c r="A4" s="28"/>
      <c r="B4" s="115" t="s">
        <v>28</v>
      </c>
      <c r="C4" s="115"/>
      <c r="D4" s="115"/>
      <c r="E4" s="115"/>
      <c r="F4" s="116"/>
    </row>
    <row r="5" spans="1:6">
      <c r="A5" s="117" t="s">
        <v>3</v>
      </c>
      <c r="B5" s="118"/>
      <c r="C5" s="118"/>
      <c r="D5" s="118"/>
      <c r="E5" s="118"/>
      <c r="F5" s="4" t="s">
        <v>14</v>
      </c>
    </row>
    <row r="6" spans="1:6">
      <c r="A6" s="119"/>
      <c r="B6" s="120"/>
      <c r="C6" s="120"/>
      <c r="D6" s="120"/>
      <c r="E6" s="120"/>
      <c r="F6" s="5" t="s">
        <v>60</v>
      </c>
    </row>
    <row r="7" spans="1:6">
      <c r="A7" s="6" t="s">
        <v>4</v>
      </c>
      <c r="B7" s="6" t="s">
        <v>5</v>
      </c>
      <c r="C7" s="6" t="s">
        <v>6</v>
      </c>
      <c r="D7" s="6" t="s">
        <v>4</v>
      </c>
      <c r="E7" s="6" t="s">
        <v>7</v>
      </c>
      <c r="F7" s="6" t="s">
        <v>6</v>
      </c>
    </row>
    <row r="8" spans="1:6">
      <c r="A8" s="7">
        <v>1</v>
      </c>
      <c r="B8" s="7" t="s">
        <v>8</v>
      </c>
      <c r="C8" s="6">
        <v>128083</v>
      </c>
      <c r="D8" s="7">
        <v>1</v>
      </c>
      <c r="E8" s="7" t="s">
        <v>23</v>
      </c>
      <c r="F8" s="16">
        <v>600</v>
      </c>
    </row>
    <row r="9" spans="1:6">
      <c r="A9" s="7">
        <v>2</v>
      </c>
      <c r="B9" s="7" t="s">
        <v>13</v>
      </c>
      <c r="C9" s="14">
        <f>500+300+600+600+300+500+300+500+600+1200+300+500+600+600+800+250+500+1800+400+400+300+300+600+600+300+500+1000+300+500+300+500+500+500+600+500+600+600</f>
        <v>20050</v>
      </c>
      <c r="D9" s="7">
        <v>2</v>
      </c>
      <c r="E9" s="7" t="s">
        <v>57</v>
      </c>
      <c r="F9" s="17">
        <f>6400+2500+450</f>
        <v>9350</v>
      </c>
    </row>
    <row r="10" spans="1:6">
      <c r="A10" s="7">
        <v>3</v>
      </c>
      <c r="B10" s="7" t="s">
        <v>24</v>
      </c>
      <c r="C10" s="14"/>
      <c r="D10" s="7">
        <v>3</v>
      </c>
      <c r="E10" s="7" t="s">
        <v>61</v>
      </c>
      <c r="F10" s="17">
        <v>100</v>
      </c>
    </row>
    <row r="11" spans="1:6">
      <c r="A11" s="7">
        <v>4</v>
      </c>
      <c r="B11" s="7" t="s">
        <v>21</v>
      </c>
      <c r="C11" s="14"/>
      <c r="D11" s="7">
        <v>4</v>
      </c>
      <c r="E11" s="7" t="s">
        <v>62</v>
      </c>
      <c r="F11" s="17">
        <v>84</v>
      </c>
    </row>
    <row r="12" spans="1:6">
      <c r="A12" s="7">
        <v>5</v>
      </c>
      <c r="B12" s="7" t="s">
        <v>31</v>
      </c>
      <c r="C12" s="14">
        <f>225+270</f>
        <v>495</v>
      </c>
      <c r="D12" s="7">
        <v>5</v>
      </c>
      <c r="E12" s="7" t="s">
        <v>63</v>
      </c>
      <c r="F12" s="17">
        <v>1000</v>
      </c>
    </row>
    <row r="13" spans="1:6">
      <c r="A13" s="7">
        <v>6</v>
      </c>
      <c r="B13" s="7" t="s">
        <v>22</v>
      </c>
      <c r="C13" s="14">
        <f>60+30+30+20+30</f>
        <v>170</v>
      </c>
      <c r="D13" s="7">
        <v>6</v>
      </c>
      <c r="E13" s="7" t="s">
        <v>56</v>
      </c>
      <c r="F13" s="17">
        <v>20000</v>
      </c>
    </row>
    <row r="14" spans="1:6">
      <c r="A14" s="7">
        <v>7</v>
      </c>
      <c r="B14" s="7" t="s">
        <v>26</v>
      </c>
      <c r="C14" s="14"/>
      <c r="D14" s="7">
        <v>7</v>
      </c>
      <c r="E14" s="7"/>
      <c r="F14" s="17"/>
    </row>
    <row r="15" spans="1:6">
      <c r="A15" s="7">
        <v>8</v>
      </c>
      <c r="B15" s="7" t="s">
        <v>37</v>
      </c>
      <c r="C15" s="14">
        <f>20</f>
        <v>20</v>
      </c>
      <c r="D15" s="7">
        <v>8</v>
      </c>
      <c r="E15" s="7"/>
      <c r="F15" s="17"/>
    </row>
    <row r="16" spans="1:6">
      <c r="A16" s="7">
        <v>9</v>
      </c>
      <c r="B16" s="7" t="s">
        <v>50</v>
      </c>
      <c r="C16" s="14"/>
      <c r="D16" s="7">
        <v>9</v>
      </c>
      <c r="E16" s="7"/>
      <c r="F16" s="17"/>
    </row>
    <row r="17" spans="1:6">
      <c r="A17" s="7">
        <v>10</v>
      </c>
      <c r="B17" s="7"/>
      <c r="C17" s="14"/>
      <c r="D17" s="7">
        <v>10</v>
      </c>
      <c r="E17" s="7"/>
      <c r="F17" s="17"/>
    </row>
    <row r="18" spans="1:6">
      <c r="A18" s="2"/>
      <c r="B18" s="2"/>
      <c r="C18" s="15"/>
      <c r="D18" s="2"/>
      <c r="E18" s="2"/>
      <c r="F18" s="18"/>
    </row>
    <row r="19" spans="1:6">
      <c r="A19" s="2"/>
      <c r="B19" s="2"/>
      <c r="C19" s="15"/>
      <c r="D19" s="2"/>
      <c r="E19" s="2"/>
      <c r="F19" s="18"/>
    </row>
    <row r="20" spans="1:6">
      <c r="A20" s="79" t="s">
        <v>9</v>
      </c>
      <c r="B20" s="80"/>
      <c r="C20" s="3">
        <f>SUM(C8:C19)</f>
        <v>148818</v>
      </c>
      <c r="D20" s="12"/>
      <c r="E20" s="13" t="s">
        <v>15</v>
      </c>
      <c r="F20" s="19">
        <f>SUM(F8:F19)</f>
        <v>31134</v>
      </c>
    </row>
    <row r="21" spans="1:6">
      <c r="A21" s="8"/>
      <c r="B21" s="9"/>
      <c r="C21" s="10"/>
      <c r="D21" s="11"/>
    </row>
    <row r="22" spans="1:6">
      <c r="A22" s="96" t="s">
        <v>11</v>
      </c>
      <c r="B22" s="96"/>
      <c r="C22" s="96"/>
      <c r="D22" s="96"/>
      <c r="E22" s="97">
        <f>C20-F20</f>
        <v>117684</v>
      </c>
      <c r="F22" s="98"/>
    </row>
    <row r="23" spans="1:6">
      <c r="A23" s="96" t="s">
        <v>10</v>
      </c>
      <c r="B23" s="96"/>
      <c r="C23" s="103"/>
      <c r="D23" s="104"/>
      <c r="E23" s="104"/>
      <c r="F23" s="105"/>
    </row>
    <row r="24" spans="1:6">
      <c r="A24" s="102" t="s">
        <v>12</v>
      </c>
      <c r="B24" s="102"/>
      <c r="C24" s="102"/>
      <c r="D24" s="102"/>
      <c r="E24" s="102"/>
      <c r="F24" s="102"/>
    </row>
    <row r="25" spans="1:6">
      <c r="A25" s="102"/>
      <c r="B25" s="102"/>
      <c r="C25" s="102"/>
      <c r="D25" s="102"/>
      <c r="E25" s="102"/>
      <c r="F25" s="102"/>
    </row>
    <row r="26" spans="1:6">
      <c r="A26" s="102"/>
      <c r="B26" s="102"/>
      <c r="C26" s="102"/>
      <c r="D26" s="102"/>
      <c r="E26" s="102"/>
      <c r="F26" s="102"/>
    </row>
    <row r="27" spans="1:6">
      <c r="A27" s="102"/>
      <c r="B27" s="102"/>
      <c r="C27" s="102"/>
      <c r="D27" s="102"/>
      <c r="E27" s="102"/>
      <c r="F27" s="102"/>
    </row>
    <row r="30" spans="1:6">
      <c r="B30" s="20" t="s">
        <v>19</v>
      </c>
      <c r="C30" s="20" t="s">
        <v>20</v>
      </c>
      <c r="D30" s="20"/>
      <c r="E30" s="20" t="s">
        <v>16</v>
      </c>
      <c r="F30" s="1">
        <f>20735-11134</f>
        <v>9601</v>
      </c>
    </row>
    <row r="31" spans="1:6">
      <c r="B31" s="40">
        <v>1000</v>
      </c>
      <c r="C31" s="40">
        <v>3</v>
      </c>
      <c r="D31" s="21"/>
      <c r="E31" s="40">
        <f>B31*C31</f>
        <v>3000</v>
      </c>
    </row>
    <row r="32" spans="1:6">
      <c r="B32" s="40">
        <v>500</v>
      </c>
      <c r="C32" s="40">
        <v>11</v>
      </c>
      <c r="D32" s="21"/>
      <c r="E32" s="40">
        <f>B32*C32</f>
        <v>5500</v>
      </c>
    </row>
    <row r="33" spans="2:5">
      <c r="B33" s="40">
        <v>100</v>
      </c>
      <c r="C33" s="40">
        <v>8</v>
      </c>
      <c r="D33" s="21"/>
      <c r="E33" s="40">
        <f t="shared" ref="E33:E39" si="0">B33*C33</f>
        <v>800</v>
      </c>
    </row>
    <row r="34" spans="2:5">
      <c r="B34" s="40">
        <v>50</v>
      </c>
      <c r="C34" s="41">
        <v>3</v>
      </c>
      <c r="D34" s="21"/>
      <c r="E34" s="41">
        <f t="shared" si="0"/>
        <v>150</v>
      </c>
    </row>
    <row r="35" spans="2:5">
      <c r="B35" s="40">
        <v>20</v>
      </c>
      <c r="C35" s="40">
        <v>4</v>
      </c>
      <c r="D35" s="21"/>
      <c r="E35" s="40">
        <f t="shared" si="0"/>
        <v>80</v>
      </c>
    </row>
    <row r="36" spans="2:5">
      <c r="B36" s="40">
        <v>10</v>
      </c>
      <c r="C36" s="40">
        <v>6</v>
      </c>
      <c r="D36" s="21"/>
      <c r="E36" s="40">
        <f t="shared" si="0"/>
        <v>60</v>
      </c>
    </row>
    <row r="37" spans="2:5">
      <c r="B37" s="40">
        <v>5</v>
      </c>
      <c r="C37" s="40">
        <v>2</v>
      </c>
      <c r="D37" s="21"/>
      <c r="E37" s="40">
        <f t="shared" si="0"/>
        <v>10</v>
      </c>
    </row>
    <row r="38" spans="2:5">
      <c r="B38" s="40">
        <v>2</v>
      </c>
      <c r="C38" s="40"/>
      <c r="D38" s="21"/>
      <c r="E38" s="40">
        <f t="shared" si="0"/>
        <v>0</v>
      </c>
    </row>
    <row r="39" spans="2:5">
      <c r="B39" s="40">
        <v>1</v>
      </c>
      <c r="C39" s="40">
        <v>1</v>
      </c>
      <c r="D39" s="21"/>
      <c r="E39" s="40">
        <f t="shared" si="0"/>
        <v>1</v>
      </c>
    </row>
    <row r="40" spans="2:5">
      <c r="B40" s="39" t="s">
        <v>17</v>
      </c>
      <c r="C40" s="40">
        <f>SUM(C31:C39)</f>
        <v>38</v>
      </c>
      <c r="D40" s="21"/>
      <c r="E40" s="20">
        <f>SUM(E31:E39)</f>
        <v>9601</v>
      </c>
    </row>
    <row r="41" spans="2:5">
      <c r="B41" s="21"/>
      <c r="C41" s="21"/>
      <c r="D41" s="21"/>
      <c r="E41" s="21"/>
    </row>
    <row r="43" spans="2:5">
      <c r="B43" s="1" t="s">
        <v>29</v>
      </c>
      <c r="E43" s="22"/>
    </row>
  </sheetData>
  <mergeCells count="11">
    <mergeCell ref="A20:B20"/>
    <mergeCell ref="A1:F1"/>
    <mergeCell ref="A2:F2"/>
    <mergeCell ref="A3:F3"/>
    <mergeCell ref="B4:F4"/>
    <mergeCell ref="A5:E6"/>
    <mergeCell ref="A22:D22"/>
    <mergeCell ref="E22:F22"/>
    <mergeCell ref="A23:B23"/>
    <mergeCell ref="C23:F23"/>
    <mergeCell ref="A24:F27"/>
  </mergeCells>
  <pageMargins left="1" right="1" top="0.5" bottom="0.5" header="0.5" footer="0.5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43"/>
  <sheetViews>
    <sheetView workbookViewId="0">
      <selection activeCell="F9" sqref="F9"/>
    </sheetView>
  </sheetViews>
  <sheetFormatPr defaultRowHeight="15"/>
  <cols>
    <col min="1" max="1" width="2.42578125" style="1" customWidth="1"/>
    <col min="2" max="2" width="24.85546875" style="1" customWidth="1"/>
    <col min="3" max="3" width="10.85546875" style="1" customWidth="1"/>
    <col min="4" max="4" width="2.85546875" style="1" customWidth="1"/>
    <col min="5" max="5" width="26.140625" style="1" customWidth="1"/>
    <col min="6" max="6" width="14.5703125" style="1" customWidth="1"/>
    <col min="7" max="16384" width="9.140625" style="1"/>
  </cols>
  <sheetData>
    <row r="1" spans="1:6" ht="15.75">
      <c r="A1" s="106" t="s">
        <v>0</v>
      </c>
      <c r="B1" s="107"/>
      <c r="C1" s="107"/>
      <c r="D1" s="107"/>
      <c r="E1" s="107"/>
      <c r="F1" s="108"/>
    </row>
    <row r="2" spans="1:6">
      <c r="A2" s="109" t="s">
        <v>1</v>
      </c>
      <c r="B2" s="110"/>
      <c r="C2" s="110"/>
      <c r="D2" s="110"/>
      <c r="E2" s="110"/>
      <c r="F2" s="111"/>
    </row>
    <row r="3" spans="1:6">
      <c r="A3" s="112" t="s">
        <v>2</v>
      </c>
      <c r="B3" s="113"/>
      <c r="C3" s="113"/>
      <c r="D3" s="113"/>
      <c r="E3" s="113"/>
      <c r="F3" s="114"/>
    </row>
    <row r="4" spans="1:6">
      <c r="A4" s="28"/>
      <c r="B4" s="115" t="s">
        <v>28</v>
      </c>
      <c r="C4" s="115"/>
      <c r="D4" s="115"/>
      <c r="E4" s="115"/>
      <c r="F4" s="116"/>
    </row>
    <row r="5" spans="1:6">
      <c r="A5" s="117" t="s">
        <v>3</v>
      </c>
      <c r="B5" s="118"/>
      <c r="C5" s="118"/>
      <c r="D5" s="118"/>
      <c r="E5" s="118"/>
      <c r="F5" s="4" t="s">
        <v>14</v>
      </c>
    </row>
    <row r="6" spans="1:6">
      <c r="A6" s="119"/>
      <c r="B6" s="120"/>
      <c r="C6" s="120"/>
      <c r="D6" s="120"/>
      <c r="E6" s="120"/>
      <c r="F6" s="5" t="s">
        <v>59</v>
      </c>
    </row>
    <row r="7" spans="1:6">
      <c r="A7" s="6" t="s">
        <v>4</v>
      </c>
      <c r="B7" s="6" t="s">
        <v>5</v>
      </c>
      <c r="C7" s="6" t="s">
        <v>6</v>
      </c>
      <c r="D7" s="6" t="s">
        <v>4</v>
      </c>
      <c r="E7" s="6" t="s">
        <v>7</v>
      </c>
      <c r="F7" s="6" t="s">
        <v>6</v>
      </c>
    </row>
    <row r="8" spans="1:6">
      <c r="A8" s="7">
        <v>1</v>
      </c>
      <c r="B8" s="7" t="s">
        <v>8</v>
      </c>
      <c r="C8" s="6">
        <v>97203</v>
      </c>
      <c r="D8" s="7">
        <v>1</v>
      </c>
      <c r="E8" s="7" t="s">
        <v>23</v>
      </c>
      <c r="F8" s="16">
        <v>600</v>
      </c>
    </row>
    <row r="9" spans="1:6">
      <c r="A9" s="7">
        <v>2</v>
      </c>
      <c r="B9" s="7" t="s">
        <v>13</v>
      </c>
      <c r="C9" s="14">
        <f>500+1000+1600+600+600+500+600+300+500+1200+500+600+600+600+500+600+600+600+500+500+500+500+250+1000+1000+1000+1200+500+1000+1200+500+300+500+300+400+750+500+500+600+500+500+500+1000+500+300+600+600+500+300+600+500+1200+600+1200+500+300+600+500+500</f>
        <v>37300</v>
      </c>
      <c r="D9" s="7">
        <v>2</v>
      </c>
      <c r="E9" s="7" t="s">
        <v>57</v>
      </c>
      <c r="F9" s="17">
        <v>5000</v>
      </c>
    </row>
    <row r="10" spans="1:6">
      <c r="A10" s="7">
        <v>3</v>
      </c>
      <c r="B10" s="7" t="s">
        <v>24</v>
      </c>
      <c r="C10" s="14"/>
      <c r="D10" s="7">
        <v>3</v>
      </c>
      <c r="E10" s="7" t="s">
        <v>58</v>
      </c>
      <c r="F10" s="17">
        <v>1000</v>
      </c>
    </row>
    <row r="11" spans="1:6">
      <c r="A11" s="7">
        <v>4</v>
      </c>
      <c r="B11" s="7" t="s">
        <v>21</v>
      </c>
      <c r="C11" s="14"/>
      <c r="D11" s="7">
        <v>4</v>
      </c>
      <c r="E11" s="7"/>
      <c r="F11" s="17"/>
    </row>
    <row r="12" spans="1:6">
      <c r="A12" s="7">
        <v>5</v>
      </c>
      <c r="B12" s="7" t="s">
        <v>31</v>
      </c>
      <c r="C12" s="14"/>
      <c r="D12" s="7">
        <v>5</v>
      </c>
      <c r="E12" s="7"/>
      <c r="F12" s="17"/>
    </row>
    <row r="13" spans="1:6">
      <c r="A13" s="7">
        <v>6</v>
      </c>
      <c r="B13" s="7" t="s">
        <v>22</v>
      </c>
      <c r="C13" s="14">
        <f>60+30+90</f>
        <v>180</v>
      </c>
      <c r="D13" s="7">
        <v>6</v>
      </c>
      <c r="E13" s="7"/>
      <c r="F13" s="17"/>
    </row>
    <row r="14" spans="1:6">
      <c r="A14" s="7">
        <v>7</v>
      </c>
      <c r="B14" s="7" t="s">
        <v>26</v>
      </c>
      <c r="C14" s="14"/>
      <c r="D14" s="7">
        <v>7</v>
      </c>
      <c r="E14" s="7"/>
      <c r="F14" s="17"/>
    </row>
    <row r="15" spans="1:6">
      <c r="A15" s="7">
        <v>8</v>
      </c>
      <c r="B15" s="7" t="s">
        <v>37</v>
      </c>
      <c r="C15" s="14"/>
      <c r="D15" s="7">
        <v>8</v>
      </c>
      <c r="E15" s="7"/>
      <c r="F15" s="17"/>
    </row>
    <row r="16" spans="1:6">
      <c r="A16" s="7">
        <v>9</v>
      </c>
      <c r="B16" s="7" t="s">
        <v>50</v>
      </c>
      <c r="C16" s="14"/>
      <c r="D16" s="7">
        <v>9</v>
      </c>
      <c r="E16" s="7"/>
      <c r="F16" s="17"/>
    </row>
    <row r="17" spans="1:6">
      <c r="A17" s="7">
        <v>10</v>
      </c>
      <c r="B17" s="7"/>
      <c r="C17" s="14"/>
      <c r="D17" s="7">
        <v>10</v>
      </c>
      <c r="E17" s="7"/>
      <c r="F17" s="17"/>
    </row>
    <row r="18" spans="1:6">
      <c r="A18" s="2"/>
      <c r="B18" s="2"/>
      <c r="C18" s="15"/>
      <c r="D18" s="2"/>
      <c r="E18" s="2"/>
      <c r="F18" s="18"/>
    </row>
    <row r="19" spans="1:6">
      <c r="A19" s="2"/>
      <c r="B19" s="2"/>
      <c r="C19" s="15"/>
      <c r="D19" s="2"/>
      <c r="E19" s="2"/>
      <c r="F19" s="18"/>
    </row>
    <row r="20" spans="1:6">
      <c r="A20" s="79" t="s">
        <v>9</v>
      </c>
      <c r="B20" s="80"/>
      <c r="C20" s="3">
        <f>SUM(C8:C19)</f>
        <v>134683</v>
      </c>
      <c r="D20" s="12"/>
      <c r="E20" s="13" t="s">
        <v>15</v>
      </c>
      <c r="F20" s="19">
        <f>SUM(F8:F19)</f>
        <v>6600</v>
      </c>
    </row>
    <row r="21" spans="1:6">
      <c r="A21" s="8"/>
      <c r="B21" s="9"/>
      <c r="C21" s="10"/>
      <c r="D21" s="11"/>
    </row>
    <row r="22" spans="1:6">
      <c r="A22" s="96" t="s">
        <v>11</v>
      </c>
      <c r="B22" s="96"/>
      <c r="C22" s="96"/>
      <c r="D22" s="96"/>
      <c r="E22" s="97">
        <f>C20-F20</f>
        <v>128083</v>
      </c>
      <c r="F22" s="98"/>
    </row>
    <row r="23" spans="1:6">
      <c r="A23" s="96" t="s">
        <v>10</v>
      </c>
      <c r="B23" s="96"/>
      <c r="C23" s="103"/>
      <c r="D23" s="104"/>
      <c r="E23" s="104"/>
      <c r="F23" s="105"/>
    </row>
    <row r="24" spans="1:6">
      <c r="A24" s="102" t="s">
        <v>12</v>
      </c>
      <c r="B24" s="102"/>
      <c r="C24" s="102"/>
      <c r="D24" s="102"/>
      <c r="E24" s="102"/>
      <c r="F24" s="102"/>
    </row>
    <row r="25" spans="1:6">
      <c r="A25" s="102"/>
      <c r="B25" s="102"/>
      <c r="C25" s="102"/>
      <c r="D25" s="102"/>
      <c r="E25" s="102"/>
      <c r="F25" s="102"/>
    </row>
    <row r="26" spans="1:6">
      <c r="A26" s="102"/>
      <c r="B26" s="102"/>
      <c r="C26" s="102"/>
      <c r="D26" s="102"/>
      <c r="E26" s="102"/>
      <c r="F26" s="102"/>
    </row>
    <row r="27" spans="1:6">
      <c r="A27" s="102"/>
      <c r="B27" s="102"/>
      <c r="C27" s="102"/>
      <c r="D27" s="102"/>
      <c r="E27" s="102"/>
      <c r="F27" s="102"/>
    </row>
    <row r="30" spans="1:6">
      <c r="B30" s="20" t="s">
        <v>19</v>
      </c>
      <c r="C30" s="20" t="s">
        <v>20</v>
      </c>
      <c r="D30" s="20"/>
      <c r="E30" s="20" t="s">
        <v>16</v>
      </c>
      <c r="F30" s="1">
        <f>37480-6600</f>
        <v>30880</v>
      </c>
    </row>
    <row r="31" spans="1:6">
      <c r="B31" s="38">
        <v>1000</v>
      </c>
      <c r="C31" s="38">
        <v>6</v>
      </c>
      <c r="D31" s="21"/>
      <c r="E31" s="38">
        <f>B31*C31</f>
        <v>6000</v>
      </c>
    </row>
    <row r="32" spans="1:6">
      <c r="B32" s="38">
        <v>500</v>
      </c>
      <c r="C32" s="38">
        <v>42</v>
      </c>
      <c r="D32" s="21"/>
      <c r="E32" s="38">
        <f>B32*C32</f>
        <v>21000</v>
      </c>
    </row>
    <row r="33" spans="2:5">
      <c r="B33" s="38">
        <v>100</v>
      </c>
      <c r="C33" s="38">
        <v>30</v>
      </c>
      <c r="D33" s="21"/>
      <c r="E33" s="38">
        <f t="shared" ref="E33:E39" si="0">B33*C33</f>
        <v>3000</v>
      </c>
    </row>
    <row r="34" spans="2:5">
      <c r="B34" s="38">
        <v>50</v>
      </c>
      <c r="C34" s="38">
        <v>9</v>
      </c>
      <c r="D34" s="21"/>
      <c r="E34" s="38">
        <f t="shared" si="0"/>
        <v>450</v>
      </c>
    </row>
    <row r="35" spans="2:5">
      <c r="B35" s="38">
        <v>20</v>
      </c>
      <c r="C35" s="38">
        <v>17</v>
      </c>
      <c r="D35" s="21"/>
      <c r="E35" s="38">
        <f t="shared" si="0"/>
        <v>340</v>
      </c>
    </row>
    <row r="36" spans="2:5">
      <c r="B36" s="38">
        <v>10</v>
      </c>
      <c r="C36" s="38">
        <v>9</v>
      </c>
      <c r="D36" s="21"/>
      <c r="E36" s="38">
        <f t="shared" si="0"/>
        <v>90</v>
      </c>
    </row>
    <row r="37" spans="2:5">
      <c r="B37" s="38">
        <v>5</v>
      </c>
      <c r="C37" s="38"/>
      <c r="D37" s="21"/>
      <c r="E37" s="38">
        <f t="shared" si="0"/>
        <v>0</v>
      </c>
    </row>
    <row r="38" spans="2:5">
      <c r="B38" s="38">
        <v>2</v>
      </c>
      <c r="C38" s="38"/>
      <c r="D38" s="21"/>
      <c r="E38" s="38">
        <f t="shared" si="0"/>
        <v>0</v>
      </c>
    </row>
    <row r="39" spans="2:5">
      <c r="B39" s="38">
        <v>1</v>
      </c>
      <c r="C39" s="38"/>
      <c r="D39" s="21"/>
      <c r="E39" s="38">
        <f t="shared" si="0"/>
        <v>0</v>
      </c>
    </row>
    <row r="40" spans="2:5">
      <c r="B40" s="37" t="s">
        <v>17</v>
      </c>
      <c r="C40" s="38">
        <f>SUM(C31:C39)</f>
        <v>113</v>
      </c>
      <c r="D40" s="21"/>
      <c r="E40" s="20">
        <f>SUM(E31:E39)</f>
        <v>30880</v>
      </c>
    </row>
    <row r="41" spans="2:5">
      <c r="B41" s="21"/>
      <c r="C41" s="21"/>
      <c r="D41" s="21"/>
      <c r="E41" s="21"/>
    </row>
    <row r="43" spans="2:5">
      <c r="B43" s="1" t="s">
        <v>29</v>
      </c>
      <c r="E43" s="22"/>
    </row>
  </sheetData>
  <mergeCells count="11">
    <mergeCell ref="A20:B20"/>
    <mergeCell ref="A1:F1"/>
    <mergeCell ref="A2:F2"/>
    <mergeCell ref="A3:F3"/>
    <mergeCell ref="B4:F4"/>
    <mergeCell ref="A5:E6"/>
    <mergeCell ref="A22:D22"/>
    <mergeCell ref="E22:F22"/>
    <mergeCell ref="A23:B23"/>
    <mergeCell ref="C23:F23"/>
    <mergeCell ref="A24:F27"/>
  </mergeCells>
  <pageMargins left="1" right="1" top="0.5" bottom="0.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43"/>
  <sheetViews>
    <sheetView workbookViewId="0">
      <selection activeCell="E11" sqref="E11:F11"/>
    </sheetView>
  </sheetViews>
  <sheetFormatPr defaultRowHeight="15"/>
  <cols>
    <col min="1" max="1" width="2.42578125" style="1" customWidth="1"/>
    <col min="2" max="2" width="24.85546875" style="1" customWidth="1"/>
    <col min="3" max="3" width="10.85546875" style="1" customWidth="1"/>
    <col min="4" max="4" width="2.85546875" style="1" customWidth="1"/>
    <col min="5" max="5" width="26.140625" style="1" customWidth="1"/>
    <col min="6" max="6" width="14.5703125" style="1" customWidth="1"/>
    <col min="7" max="16384" width="9.140625" style="1"/>
  </cols>
  <sheetData>
    <row r="1" spans="1:6" ht="15.75">
      <c r="A1" s="106" t="s">
        <v>0</v>
      </c>
      <c r="B1" s="107"/>
      <c r="C1" s="107"/>
      <c r="D1" s="107"/>
      <c r="E1" s="107"/>
      <c r="F1" s="108"/>
    </row>
    <row r="2" spans="1:6">
      <c r="A2" s="109" t="s">
        <v>1</v>
      </c>
      <c r="B2" s="110"/>
      <c r="C2" s="110"/>
      <c r="D2" s="110"/>
      <c r="E2" s="110"/>
      <c r="F2" s="111"/>
    </row>
    <row r="3" spans="1:6">
      <c r="A3" s="112" t="s">
        <v>2</v>
      </c>
      <c r="B3" s="113"/>
      <c r="C3" s="113"/>
      <c r="D3" s="113"/>
      <c r="E3" s="113"/>
      <c r="F3" s="114"/>
    </row>
    <row r="4" spans="1:6">
      <c r="A4" s="28"/>
      <c r="B4" s="115" t="s">
        <v>28</v>
      </c>
      <c r="C4" s="115"/>
      <c r="D4" s="115"/>
      <c r="E4" s="115"/>
      <c r="F4" s="116"/>
    </row>
    <row r="5" spans="1:6">
      <c r="A5" s="117" t="s">
        <v>3</v>
      </c>
      <c r="B5" s="118"/>
      <c r="C5" s="118"/>
      <c r="D5" s="118"/>
      <c r="E5" s="118"/>
      <c r="F5" s="4" t="s">
        <v>14</v>
      </c>
    </row>
    <row r="6" spans="1:6">
      <c r="A6" s="119"/>
      <c r="B6" s="120"/>
      <c r="C6" s="120"/>
      <c r="D6" s="120"/>
      <c r="E6" s="120"/>
      <c r="F6" s="5" t="s">
        <v>53</v>
      </c>
    </row>
    <row r="7" spans="1:6">
      <c r="A7" s="6" t="s">
        <v>4</v>
      </c>
      <c r="B7" s="6" t="s">
        <v>5</v>
      </c>
      <c r="C7" s="6" t="s">
        <v>6</v>
      </c>
      <c r="D7" s="6" t="s">
        <v>4</v>
      </c>
      <c r="E7" s="6" t="s">
        <v>7</v>
      </c>
      <c r="F7" s="6" t="s">
        <v>6</v>
      </c>
    </row>
    <row r="8" spans="1:6">
      <c r="A8" s="7">
        <v>1</v>
      </c>
      <c r="B8" s="7" t="s">
        <v>8</v>
      </c>
      <c r="C8" s="6">
        <v>83173</v>
      </c>
      <c r="D8" s="7">
        <v>1</v>
      </c>
      <c r="E8" s="7" t="s">
        <v>23</v>
      </c>
      <c r="F8" s="16">
        <v>600</v>
      </c>
    </row>
    <row r="9" spans="1:6">
      <c r="A9" s="7">
        <v>2</v>
      </c>
      <c r="B9" s="7" t="s">
        <v>13</v>
      </c>
      <c r="C9" s="14">
        <f>1800+2000+600+500+350+350+350+350+600+1000+500+500+600+1000+500+600+500+1000+500+500+500+500+500+500+1800+500+600+300+1200+500+500+600+500+300+600+500+250+600+1000+600+600+1200+600+300+500+1000+600+500+300+300+600+500+400+600</f>
        <v>34450</v>
      </c>
      <c r="D9" s="7">
        <v>2</v>
      </c>
      <c r="E9" s="7" t="s">
        <v>54</v>
      </c>
      <c r="F9" s="17">
        <v>500</v>
      </c>
    </row>
    <row r="10" spans="1:6">
      <c r="A10" s="7">
        <v>3</v>
      </c>
      <c r="B10" s="7" t="s">
        <v>24</v>
      </c>
      <c r="C10" s="14">
        <f>1020</f>
        <v>1020</v>
      </c>
      <c r="D10" s="7">
        <v>3</v>
      </c>
      <c r="E10" s="7" t="s">
        <v>55</v>
      </c>
      <c r="F10" s="17">
        <v>1000</v>
      </c>
    </row>
    <row r="11" spans="1:6">
      <c r="A11" s="7">
        <v>4</v>
      </c>
      <c r="B11" s="7" t="s">
        <v>21</v>
      </c>
      <c r="C11" s="14"/>
      <c r="D11" s="7">
        <v>4</v>
      </c>
      <c r="E11" s="7" t="s">
        <v>56</v>
      </c>
      <c r="F11" s="17">
        <v>20000</v>
      </c>
    </row>
    <row r="12" spans="1:6">
      <c r="A12" s="7">
        <v>5</v>
      </c>
      <c r="B12" s="7" t="s">
        <v>31</v>
      </c>
      <c r="C12" s="14">
        <f>450</f>
        <v>450</v>
      </c>
      <c r="D12" s="7">
        <v>5</v>
      </c>
      <c r="E12" s="7"/>
      <c r="F12" s="17"/>
    </row>
    <row r="13" spans="1:6">
      <c r="A13" s="7">
        <v>6</v>
      </c>
      <c r="B13" s="7" t="s">
        <v>22</v>
      </c>
      <c r="C13" s="14">
        <f>50+60</f>
        <v>110</v>
      </c>
      <c r="D13" s="7">
        <v>6</v>
      </c>
      <c r="E13" s="7"/>
      <c r="F13" s="17"/>
    </row>
    <row r="14" spans="1:6">
      <c r="A14" s="7">
        <v>7</v>
      </c>
      <c r="B14" s="7" t="s">
        <v>26</v>
      </c>
      <c r="C14" s="14">
        <f>50+50</f>
        <v>100</v>
      </c>
      <c r="D14" s="7">
        <v>7</v>
      </c>
      <c r="E14" s="7"/>
      <c r="F14" s="17"/>
    </row>
    <row r="15" spans="1:6">
      <c r="A15" s="7">
        <v>8</v>
      </c>
      <c r="B15" s="7" t="s">
        <v>37</v>
      </c>
      <c r="C15" s="14"/>
      <c r="D15" s="7">
        <v>8</v>
      </c>
      <c r="E15" s="7"/>
      <c r="F15" s="17"/>
    </row>
    <row r="16" spans="1:6">
      <c r="A16" s="7">
        <v>9</v>
      </c>
      <c r="B16" s="7" t="s">
        <v>50</v>
      </c>
      <c r="C16" s="14"/>
      <c r="D16" s="7">
        <v>9</v>
      </c>
      <c r="E16" s="7"/>
      <c r="F16" s="17"/>
    </row>
    <row r="17" spans="1:6">
      <c r="A17" s="7">
        <v>10</v>
      </c>
      <c r="B17" s="7"/>
      <c r="C17" s="14"/>
      <c r="D17" s="7">
        <v>10</v>
      </c>
      <c r="E17" s="7"/>
      <c r="F17" s="17"/>
    </row>
    <row r="18" spans="1:6">
      <c r="A18" s="2"/>
      <c r="B18" s="2"/>
      <c r="C18" s="15"/>
      <c r="D18" s="2"/>
      <c r="E18" s="2"/>
      <c r="F18" s="18"/>
    </row>
    <row r="19" spans="1:6">
      <c r="A19" s="2"/>
      <c r="B19" s="2"/>
      <c r="C19" s="15"/>
      <c r="D19" s="2"/>
      <c r="E19" s="2"/>
      <c r="F19" s="18"/>
    </row>
    <row r="20" spans="1:6">
      <c r="A20" s="79" t="s">
        <v>9</v>
      </c>
      <c r="B20" s="80"/>
      <c r="C20" s="3">
        <f>SUM(C8:C19)</f>
        <v>119303</v>
      </c>
      <c r="D20" s="12"/>
      <c r="E20" s="13" t="s">
        <v>15</v>
      </c>
      <c r="F20" s="19">
        <f>SUM(F8:F19)</f>
        <v>22100</v>
      </c>
    </row>
    <row r="21" spans="1:6">
      <c r="A21" s="8"/>
      <c r="B21" s="9"/>
      <c r="C21" s="10"/>
      <c r="D21" s="11"/>
    </row>
    <row r="22" spans="1:6">
      <c r="A22" s="96" t="s">
        <v>11</v>
      </c>
      <c r="B22" s="96"/>
      <c r="C22" s="96"/>
      <c r="D22" s="96"/>
      <c r="E22" s="97">
        <f>C20-F20</f>
        <v>97203</v>
      </c>
      <c r="F22" s="98"/>
    </row>
    <row r="23" spans="1:6">
      <c r="A23" s="96" t="s">
        <v>10</v>
      </c>
      <c r="B23" s="96"/>
      <c r="C23" s="103"/>
      <c r="D23" s="104"/>
      <c r="E23" s="104"/>
      <c r="F23" s="105"/>
    </row>
    <row r="24" spans="1:6">
      <c r="A24" s="102" t="s">
        <v>12</v>
      </c>
      <c r="B24" s="102"/>
      <c r="C24" s="102"/>
      <c r="D24" s="102"/>
      <c r="E24" s="102"/>
      <c r="F24" s="102"/>
    </row>
    <row r="25" spans="1:6">
      <c r="A25" s="102"/>
      <c r="B25" s="102"/>
      <c r="C25" s="102"/>
      <c r="D25" s="102"/>
      <c r="E25" s="102"/>
      <c r="F25" s="102"/>
    </row>
    <row r="26" spans="1:6">
      <c r="A26" s="102"/>
      <c r="B26" s="102"/>
      <c r="C26" s="102"/>
      <c r="D26" s="102"/>
      <c r="E26" s="102"/>
      <c r="F26" s="102"/>
    </row>
    <row r="27" spans="1:6">
      <c r="A27" s="102"/>
      <c r="B27" s="102"/>
      <c r="C27" s="102"/>
      <c r="D27" s="102"/>
      <c r="E27" s="102"/>
      <c r="F27" s="102"/>
    </row>
    <row r="30" spans="1:6">
      <c r="B30" s="20" t="s">
        <v>19</v>
      </c>
      <c r="C30" s="20" t="s">
        <v>20</v>
      </c>
      <c r="D30" s="20"/>
      <c r="E30" s="20" t="s">
        <v>16</v>
      </c>
    </row>
    <row r="31" spans="1:6">
      <c r="B31" s="36">
        <v>1000</v>
      </c>
      <c r="C31" s="36">
        <v>18</v>
      </c>
      <c r="D31" s="21"/>
      <c r="E31" s="36">
        <f>B31*C31</f>
        <v>18000</v>
      </c>
    </row>
    <row r="32" spans="1:6">
      <c r="B32" s="36">
        <v>500</v>
      </c>
      <c r="C32" s="36">
        <v>27</v>
      </c>
      <c r="D32" s="21"/>
      <c r="E32" s="36">
        <f>B32*C32</f>
        <v>13500</v>
      </c>
    </row>
    <row r="33" spans="2:5">
      <c r="B33" s="36">
        <v>100</v>
      </c>
      <c r="C33" s="36">
        <v>17</v>
      </c>
      <c r="D33" s="21"/>
      <c r="E33" s="36">
        <f t="shared" ref="E33:E39" si="0">B33*C33</f>
        <v>1700</v>
      </c>
    </row>
    <row r="34" spans="2:5">
      <c r="B34" s="36">
        <v>50</v>
      </c>
      <c r="C34" s="36">
        <v>7</v>
      </c>
      <c r="D34" s="21"/>
      <c r="E34" s="36">
        <f t="shared" si="0"/>
        <v>350</v>
      </c>
    </row>
    <row r="35" spans="2:5">
      <c r="B35" s="36">
        <v>20</v>
      </c>
      <c r="C35" s="36">
        <v>19</v>
      </c>
      <c r="D35" s="21"/>
      <c r="E35" s="36">
        <f t="shared" si="0"/>
        <v>380</v>
      </c>
    </row>
    <row r="36" spans="2:5">
      <c r="B36" s="36">
        <v>10</v>
      </c>
      <c r="C36" s="36">
        <v>10</v>
      </c>
      <c r="D36" s="21"/>
      <c r="E36" s="36">
        <f t="shared" si="0"/>
        <v>100</v>
      </c>
    </row>
    <row r="37" spans="2:5">
      <c r="B37" s="36">
        <v>5</v>
      </c>
      <c r="C37" s="36"/>
      <c r="D37" s="21"/>
      <c r="E37" s="36">
        <f t="shared" si="0"/>
        <v>0</v>
      </c>
    </row>
    <row r="38" spans="2:5">
      <c r="B38" s="36">
        <v>2</v>
      </c>
      <c r="C38" s="36"/>
      <c r="D38" s="21"/>
      <c r="E38" s="36">
        <f t="shared" si="0"/>
        <v>0</v>
      </c>
    </row>
    <row r="39" spans="2:5">
      <c r="B39" s="36">
        <v>1</v>
      </c>
      <c r="C39" s="36"/>
      <c r="D39" s="21"/>
      <c r="E39" s="36">
        <f t="shared" si="0"/>
        <v>0</v>
      </c>
    </row>
    <row r="40" spans="2:5">
      <c r="B40" s="35" t="s">
        <v>17</v>
      </c>
      <c r="C40" s="36">
        <f>SUM(C31:C39)</f>
        <v>98</v>
      </c>
      <c r="D40" s="21"/>
      <c r="E40" s="20">
        <f>SUM(E31:E39)</f>
        <v>34030</v>
      </c>
    </row>
    <row r="41" spans="2:5">
      <c r="B41" s="21"/>
      <c r="C41" s="21"/>
      <c r="D41" s="21"/>
      <c r="E41" s="21"/>
    </row>
    <row r="43" spans="2:5">
      <c r="B43" s="1" t="s">
        <v>29</v>
      </c>
      <c r="E43" s="22"/>
    </row>
  </sheetData>
  <mergeCells count="11">
    <mergeCell ref="A22:D22"/>
    <mergeCell ref="E22:F22"/>
    <mergeCell ref="A23:B23"/>
    <mergeCell ref="C23:F23"/>
    <mergeCell ref="A24:F27"/>
    <mergeCell ref="A20:B20"/>
    <mergeCell ref="A1:F1"/>
    <mergeCell ref="A2:F2"/>
    <mergeCell ref="A3:F3"/>
    <mergeCell ref="B4:F4"/>
    <mergeCell ref="A5:E6"/>
  </mergeCells>
  <pageMargins left="1" right="1" top="0.5" bottom="0.5" header="0.5" footer="0.5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43"/>
  <sheetViews>
    <sheetView workbookViewId="0">
      <selection sqref="A1:F1"/>
    </sheetView>
  </sheetViews>
  <sheetFormatPr defaultRowHeight="15"/>
  <cols>
    <col min="1" max="1" width="2.42578125" style="1" customWidth="1"/>
    <col min="2" max="2" width="24.85546875" style="1" customWidth="1"/>
    <col min="3" max="3" width="10.85546875" style="1" customWidth="1"/>
    <col min="4" max="4" width="2.85546875" style="1" customWidth="1"/>
    <col min="5" max="5" width="26.140625" style="1" customWidth="1"/>
    <col min="6" max="6" width="14.5703125" style="1" customWidth="1"/>
    <col min="7" max="16384" width="9.140625" style="1"/>
  </cols>
  <sheetData>
    <row r="1" spans="1:6" ht="15.75">
      <c r="A1" s="106" t="s">
        <v>0</v>
      </c>
      <c r="B1" s="107"/>
      <c r="C1" s="107"/>
      <c r="D1" s="107"/>
      <c r="E1" s="107"/>
      <c r="F1" s="108"/>
    </row>
    <row r="2" spans="1:6">
      <c r="A2" s="109" t="s">
        <v>1</v>
      </c>
      <c r="B2" s="110"/>
      <c r="C2" s="110"/>
      <c r="D2" s="110"/>
      <c r="E2" s="110"/>
      <c r="F2" s="111"/>
    </row>
    <row r="3" spans="1:6">
      <c r="A3" s="112" t="s">
        <v>2</v>
      </c>
      <c r="B3" s="113"/>
      <c r="C3" s="113"/>
      <c r="D3" s="113"/>
      <c r="E3" s="113"/>
      <c r="F3" s="114"/>
    </row>
    <row r="4" spans="1:6">
      <c r="A4" s="28"/>
      <c r="B4" s="115" t="s">
        <v>28</v>
      </c>
      <c r="C4" s="115"/>
      <c r="D4" s="115"/>
      <c r="E4" s="115"/>
      <c r="F4" s="116"/>
    </row>
    <row r="5" spans="1:6">
      <c r="A5" s="117" t="s">
        <v>3</v>
      </c>
      <c r="B5" s="118"/>
      <c r="C5" s="118"/>
      <c r="D5" s="118"/>
      <c r="E5" s="118"/>
      <c r="F5" s="4" t="s">
        <v>14</v>
      </c>
    </row>
    <row r="6" spans="1:6">
      <c r="A6" s="119"/>
      <c r="B6" s="120"/>
      <c r="C6" s="120"/>
      <c r="D6" s="120"/>
      <c r="E6" s="120"/>
      <c r="F6" s="5" t="s">
        <v>49</v>
      </c>
    </row>
    <row r="7" spans="1:6">
      <c r="A7" s="6" t="s">
        <v>4</v>
      </c>
      <c r="B7" s="6" t="s">
        <v>5</v>
      </c>
      <c r="C7" s="6" t="s">
        <v>6</v>
      </c>
      <c r="D7" s="6" t="s">
        <v>4</v>
      </c>
      <c r="E7" s="6" t="s">
        <v>7</v>
      </c>
      <c r="F7" s="6" t="s">
        <v>6</v>
      </c>
    </row>
    <row r="8" spans="1:6">
      <c r="A8" s="7">
        <v>1</v>
      </c>
      <c r="B8" s="7" t="s">
        <v>8</v>
      </c>
      <c r="C8" s="6">
        <f>57146</f>
        <v>57146</v>
      </c>
      <c r="D8" s="7">
        <v>1</v>
      </c>
      <c r="E8" s="7" t="s">
        <v>23</v>
      </c>
      <c r="F8" s="16">
        <v>560</v>
      </c>
    </row>
    <row r="9" spans="1:6">
      <c r="A9" s="7">
        <v>2</v>
      </c>
      <c r="B9" s="7" t="s">
        <v>13</v>
      </c>
      <c r="C9" s="14">
        <f>600+500+600+500+500+600+600+600+500+500+300+600+600+1200+1200+600+600+600+600+300+500+600+600+600+600+500+500+500+500+250+1200+600+500+500+500+500+500+600+600+500+600</f>
        <v>23850</v>
      </c>
      <c r="D9" s="7">
        <v>2</v>
      </c>
      <c r="E9" s="7" t="s">
        <v>51</v>
      </c>
      <c r="F9" s="17">
        <v>80</v>
      </c>
    </row>
    <row r="10" spans="1:6">
      <c r="A10" s="7">
        <v>3</v>
      </c>
      <c r="B10" s="7" t="s">
        <v>24</v>
      </c>
      <c r="C10" s="14"/>
      <c r="D10" s="7">
        <v>3</v>
      </c>
      <c r="E10" s="7" t="s">
        <v>52</v>
      </c>
      <c r="F10" s="17">
        <v>150</v>
      </c>
    </row>
    <row r="11" spans="1:6">
      <c r="A11" s="7">
        <v>4</v>
      </c>
      <c r="B11" s="7" t="s">
        <v>21</v>
      </c>
      <c r="C11" s="14"/>
      <c r="D11" s="7">
        <v>4</v>
      </c>
      <c r="E11" s="7"/>
      <c r="F11" s="17"/>
    </row>
    <row r="12" spans="1:6">
      <c r="A12" s="7">
        <v>5</v>
      </c>
      <c r="B12" s="7" t="s">
        <v>31</v>
      </c>
      <c r="C12" s="14">
        <f>70+540</f>
        <v>610</v>
      </c>
      <c r="D12" s="7">
        <v>5</v>
      </c>
      <c r="E12" s="7"/>
      <c r="F12" s="17"/>
    </row>
    <row r="13" spans="1:6">
      <c r="A13" s="7">
        <v>6</v>
      </c>
      <c r="B13" s="7" t="s">
        <v>22</v>
      </c>
      <c r="C13" s="14">
        <f>60+60+30+100+30</f>
        <v>280</v>
      </c>
      <c r="D13" s="7">
        <v>6</v>
      </c>
      <c r="E13" s="7"/>
      <c r="F13" s="17"/>
    </row>
    <row r="14" spans="1:6">
      <c r="A14" s="7">
        <v>7</v>
      </c>
      <c r="B14" s="7" t="s">
        <v>26</v>
      </c>
      <c r="C14" s="14">
        <f>100</f>
        <v>100</v>
      </c>
      <c r="D14" s="7">
        <v>7</v>
      </c>
      <c r="E14" s="7"/>
      <c r="F14" s="17"/>
    </row>
    <row r="15" spans="1:6">
      <c r="A15" s="7">
        <v>8</v>
      </c>
      <c r="B15" s="7" t="s">
        <v>37</v>
      </c>
      <c r="C15" s="14"/>
      <c r="D15" s="7">
        <v>8</v>
      </c>
      <c r="E15" s="7"/>
      <c r="F15" s="17"/>
    </row>
    <row r="16" spans="1:6">
      <c r="A16" s="7">
        <v>9</v>
      </c>
      <c r="B16" s="7" t="s">
        <v>50</v>
      </c>
      <c r="C16" s="14">
        <v>1977</v>
      </c>
      <c r="D16" s="7">
        <v>9</v>
      </c>
      <c r="E16" s="7"/>
      <c r="F16" s="17"/>
    </row>
    <row r="17" spans="1:6">
      <c r="A17" s="7">
        <v>10</v>
      </c>
      <c r="B17" s="7"/>
      <c r="C17" s="14"/>
      <c r="D17" s="7">
        <v>10</v>
      </c>
      <c r="E17" s="7"/>
      <c r="F17" s="17"/>
    </row>
    <row r="18" spans="1:6">
      <c r="A18" s="2"/>
      <c r="B18" s="2"/>
      <c r="C18" s="15"/>
      <c r="D18" s="2"/>
      <c r="E18" s="2"/>
      <c r="F18" s="18"/>
    </row>
    <row r="19" spans="1:6">
      <c r="A19" s="2"/>
      <c r="B19" s="2"/>
      <c r="C19" s="15"/>
      <c r="D19" s="2"/>
      <c r="E19" s="2"/>
      <c r="F19" s="18"/>
    </row>
    <row r="20" spans="1:6">
      <c r="A20" s="79" t="s">
        <v>9</v>
      </c>
      <c r="B20" s="80"/>
      <c r="C20" s="3">
        <f>SUM(C8:C19)</f>
        <v>83963</v>
      </c>
      <c r="D20" s="12"/>
      <c r="E20" s="13" t="s">
        <v>15</v>
      </c>
      <c r="F20" s="19">
        <f>SUM(F8:F19)</f>
        <v>790</v>
      </c>
    </row>
    <row r="21" spans="1:6">
      <c r="A21" s="8"/>
      <c r="B21" s="9"/>
      <c r="C21" s="10"/>
      <c r="D21" s="11"/>
    </row>
    <row r="22" spans="1:6">
      <c r="A22" s="96" t="s">
        <v>11</v>
      </c>
      <c r="B22" s="96"/>
      <c r="C22" s="96"/>
      <c r="D22" s="96"/>
      <c r="E22" s="97">
        <f>C20-F20</f>
        <v>83173</v>
      </c>
      <c r="F22" s="98"/>
    </row>
    <row r="23" spans="1:6">
      <c r="A23" s="96" t="s">
        <v>10</v>
      </c>
      <c r="B23" s="96"/>
      <c r="C23" s="103"/>
      <c r="D23" s="104"/>
      <c r="E23" s="104"/>
      <c r="F23" s="105"/>
    </row>
    <row r="24" spans="1:6">
      <c r="A24" s="102" t="s">
        <v>12</v>
      </c>
      <c r="B24" s="102"/>
      <c r="C24" s="102"/>
      <c r="D24" s="102"/>
      <c r="E24" s="102"/>
      <c r="F24" s="102"/>
    </row>
    <row r="25" spans="1:6">
      <c r="A25" s="102"/>
      <c r="B25" s="102"/>
      <c r="C25" s="102"/>
      <c r="D25" s="102"/>
      <c r="E25" s="102"/>
      <c r="F25" s="102"/>
    </row>
    <row r="26" spans="1:6">
      <c r="A26" s="102"/>
      <c r="B26" s="102"/>
      <c r="C26" s="102"/>
      <c r="D26" s="102"/>
      <c r="E26" s="102"/>
      <c r="F26" s="102"/>
    </row>
    <row r="27" spans="1:6">
      <c r="A27" s="102"/>
      <c r="B27" s="102"/>
      <c r="C27" s="102"/>
      <c r="D27" s="102"/>
      <c r="E27" s="102"/>
      <c r="F27" s="102"/>
    </row>
    <row r="30" spans="1:6">
      <c r="B30" s="20" t="s">
        <v>19</v>
      </c>
      <c r="C30" s="20" t="s">
        <v>20</v>
      </c>
      <c r="D30" s="20"/>
      <c r="E30" s="20" t="s">
        <v>16</v>
      </c>
      <c r="F30" s="1">
        <f>26817-790</f>
        <v>26027</v>
      </c>
    </row>
    <row r="31" spans="1:6">
      <c r="B31" s="34">
        <v>1000</v>
      </c>
      <c r="C31" s="34">
        <v>7</v>
      </c>
      <c r="D31" s="21"/>
      <c r="E31" s="34">
        <f>B31*C31</f>
        <v>7000</v>
      </c>
    </row>
    <row r="32" spans="1:6">
      <c r="B32" s="34">
        <v>500</v>
      </c>
      <c r="C32" s="34">
        <v>35</v>
      </c>
      <c r="D32" s="21"/>
      <c r="E32" s="34">
        <f>B32*C32</f>
        <v>17500</v>
      </c>
    </row>
    <row r="33" spans="2:6">
      <c r="B33" s="34">
        <v>100</v>
      </c>
      <c r="C33" s="34">
        <v>11</v>
      </c>
      <c r="D33" s="21"/>
      <c r="E33" s="34">
        <f t="shared" ref="E33:E39" si="0">B33*C33</f>
        <v>1100</v>
      </c>
    </row>
    <row r="34" spans="2:6">
      <c r="B34" s="34">
        <v>50</v>
      </c>
      <c r="C34" s="34">
        <v>2</v>
      </c>
      <c r="D34" s="21"/>
      <c r="E34" s="34">
        <f t="shared" si="0"/>
        <v>100</v>
      </c>
    </row>
    <row r="35" spans="2:6">
      <c r="B35" s="34">
        <v>20</v>
      </c>
      <c r="C35" s="34">
        <v>11</v>
      </c>
      <c r="D35" s="21"/>
      <c r="E35" s="34">
        <f t="shared" si="0"/>
        <v>220</v>
      </c>
    </row>
    <row r="36" spans="2:6">
      <c r="B36" s="34">
        <v>10</v>
      </c>
      <c r="C36" s="34">
        <v>10</v>
      </c>
      <c r="D36" s="21"/>
      <c r="E36" s="34">
        <f t="shared" si="0"/>
        <v>100</v>
      </c>
    </row>
    <row r="37" spans="2:6">
      <c r="B37" s="34">
        <v>5</v>
      </c>
      <c r="C37" s="34"/>
      <c r="D37" s="21"/>
      <c r="E37" s="34">
        <f t="shared" si="0"/>
        <v>0</v>
      </c>
    </row>
    <row r="38" spans="2:6">
      <c r="B38" s="34">
        <v>2</v>
      </c>
      <c r="C38" s="34">
        <v>3</v>
      </c>
      <c r="D38" s="21"/>
      <c r="E38" s="34">
        <f t="shared" si="0"/>
        <v>6</v>
      </c>
    </row>
    <row r="39" spans="2:6">
      <c r="B39" s="34">
        <v>1</v>
      </c>
      <c r="C39" s="34">
        <v>1</v>
      </c>
      <c r="D39" s="21"/>
      <c r="E39" s="34">
        <f t="shared" si="0"/>
        <v>1</v>
      </c>
    </row>
    <row r="40" spans="2:6">
      <c r="B40" s="33" t="s">
        <v>17</v>
      </c>
      <c r="C40" s="34">
        <f>SUM(C31:C39)</f>
        <v>80</v>
      </c>
      <c r="D40" s="21"/>
      <c r="E40" s="20">
        <f>SUM(E31:E39)</f>
        <v>26027</v>
      </c>
      <c r="F40" s="1">
        <f>F30-E40</f>
        <v>0</v>
      </c>
    </row>
    <row r="41" spans="2:6">
      <c r="B41" s="21"/>
      <c r="C41" s="21"/>
      <c r="D41" s="21"/>
      <c r="E41" s="21"/>
    </row>
    <row r="43" spans="2:6">
      <c r="B43" s="1" t="s">
        <v>29</v>
      </c>
      <c r="E43" s="22"/>
    </row>
  </sheetData>
  <mergeCells count="11">
    <mergeCell ref="A20:B20"/>
    <mergeCell ref="A1:F1"/>
    <mergeCell ref="A2:F2"/>
    <mergeCell ref="A3:F3"/>
    <mergeCell ref="B4:F4"/>
    <mergeCell ref="A5:E6"/>
    <mergeCell ref="A22:D22"/>
    <mergeCell ref="E22:F22"/>
    <mergeCell ref="A23:B23"/>
    <mergeCell ref="C23:F23"/>
    <mergeCell ref="A24:F27"/>
  </mergeCells>
  <pageMargins left="1" right="1" top="0.5" bottom="0.5" header="0.5" footer="0.5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selection sqref="A1:F1"/>
    </sheetView>
  </sheetViews>
  <sheetFormatPr defaultRowHeight="15"/>
  <cols>
    <col min="1" max="1" width="3.42578125" style="1" customWidth="1"/>
    <col min="2" max="2" width="23.7109375" style="1" customWidth="1"/>
    <col min="3" max="3" width="10.85546875" style="1" customWidth="1"/>
    <col min="4" max="4" width="2.85546875" style="1" customWidth="1"/>
    <col min="5" max="5" width="27.28515625" style="1" customWidth="1"/>
    <col min="6" max="6" width="14.5703125" style="1" customWidth="1"/>
    <col min="7" max="16384" width="9.140625" style="1"/>
  </cols>
  <sheetData>
    <row r="1" spans="1:6" ht="15.75">
      <c r="A1" s="106" t="s">
        <v>0</v>
      </c>
      <c r="B1" s="107"/>
      <c r="C1" s="107"/>
      <c r="D1" s="107"/>
      <c r="E1" s="107"/>
      <c r="F1" s="108"/>
    </row>
    <row r="2" spans="1:6">
      <c r="A2" s="109" t="s">
        <v>1</v>
      </c>
      <c r="B2" s="110"/>
      <c r="C2" s="110"/>
      <c r="D2" s="110"/>
      <c r="E2" s="110"/>
      <c r="F2" s="111"/>
    </row>
    <row r="3" spans="1:6">
      <c r="A3" s="112" t="s">
        <v>2</v>
      </c>
      <c r="B3" s="113"/>
      <c r="C3" s="113"/>
      <c r="D3" s="113"/>
      <c r="E3" s="113"/>
      <c r="F3" s="114"/>
    </row>
    <row r="4" spans="1:6">
      <c r="A4" s="28"/>
      <c r="B4" s="115" t="s">
        <v>28</v>
      </c>
      <c r="C4" s="115"/>
      <c r="D4" s="115"/>
      <c r="E4" s="115"/>
      <c r="F4" s="116"/>
    </row>
    <row r="5" spans="1:6">
      <c r="A5" s="117" t="s">
        <v>3</v>
      </c>
      <c r="B5" s="118"/>
      <c r="C5" s="118"/>
      <c r="D5" s="118"/>
      <c r="E5" s="118"/>
      <c r="F5" s="4" t="s">
        <v>14</v>
      </c>
    </row>
    <row r="6" spans="1:6">
      <c r="A6" s="119"/>
      <c r="B6" s="120"/>
      <c r="C6" s="120"/>
      <c r="D6" s="120"/>
      <c r="E6" s="120"/>
      <c r="F6" s="5" t="s">
        <v>42</v>
      </c>
    </row>
    <row r="7" spans="1:6">
      <c r="A7" s="6" t="s">
        <v>4</v>
      </c>
      <c r="B7" s="6" t="s">
        <v>5</v>
      </c>
      <c r="C7" s="6" t="s">
        <v>6</v>
      </c>
      <c r="D7" s="6" t="s">
        <v>4</v>
      </c>
      <c r="E7" s="6" t="s">
        <v>7</v>
      </c>
      <c r="F7" s="6" t="s">
        <v>6</v>
      </c>
    </row>
    <row r="8" spans="1:6">
      <c r="A8" s="7">
        <v>1</v>
      </c>
      <c r="B8" s="7" t="s">
        <v>8</v>
      </c>
      <c r="C8" s="6">
        <f>26296</f>
        <v>26296</v>
      </c>
      <c r="D8" s="7">
        <v>1</v>
      </c>
      <c r="E8" s="7" t="s">
        <v>23</v>
      </c>
      <c r="F8" s="16">
        <v>600</v>
      </c>
    </row>
    <row r="9" spans="1:6">
      <c r="A9" s="7">
        <v>2</v>
      </c>
      <c r="B9" s="7" t="s">
        <v>13</v>
      </c>
      <c r="C9" s="14">
        <f>600+600+500+500+500+300+400+1000+500+300+500+250+500+250+500+600+300+500+800+600+600+250+1200+750+400+1200+500+500+600+600+500+1000+1000+500+300+500+300+500+1200+500+600+250+1200+1200+400+600+600+600+600+300+500+600+600+500</f>
        <v>31450</v>
      </c>
      <c r="D9" s="7">
        <v>2</v>
      </c>
      <c r="E9" s="7" t="s">
        <v>44</v>
      </c>
      <c r="F9" s="17">
        <v>160</v>
      </c>
    </row>
    <row r="10" spans="1:6">
      <c r="A10" s="7">
        <v>3</v>
      </c>
      <c r="B10" s="7" t="s">
        <v>24</v>
      </c>
      <c r="C10" s="14">
        <f>3220</f>
        <v>3220</v>
      </c>
      <c r="D10" s="7">
        <v>3</v>
      </c>
      <c r="E10" s="7" t="s">
        <v>45</v>
      </c>
      <c r="F10" s="17">
        <v>130</v>
      </c>
    </row>
    <row r="11" spans="1:6">
      <c r="A11" s="7">
        <v>4</v>
      </c>
      <c r="B11" s="7" t="s">
        <v>21</v>
      </c>
      <c r="C11" s="14"/>
      <c r="D11" s="7">
        <v>4</v>
      </c>
      <c r="E11" s="7" t="s">
        <v>46</v>
      </c>
      <c r="F11" s="17">
        <v>1120</v>
      </c>
    </row>
    <row r="12" spans="1:6">
      <c r="A12" s="7">
        <v>5</v>
      </c>
      <c r="B12" s="7" t="s">
        <v>31</v>
      </c>
      <c r="C12" s="14">
        <f>450+270+360</f>
        <v>1080</v>
      </c>
      <c r="D12" s="7">
        <v>5</v>
      </c>
      <c r="E12" s="7" t="s">
        <v>47</v>
      </c>
      <c r="F12" s="17">
        <v>2600</v>
      </c>
    </row>
    <row r="13" spans="1:6">
      <c r="A13" s="7">
        <v>6</v>
      </c>
      <c r="B13" s="7" t="s">
        <v>22</v>
      </c>
      <c r="C13" s="14">
        <f>20+30</f>
        <v>50</v>
      </c>
      <c r="D13" s="7">
        <v>6</v>
      </c>
      <c r="E13" s="7" t="s">
        <v>48</v>
      </c>
      <c r="F13" s="17">
        <v>480</v>
      </c>
    </row>
    <row r="14" spans="1:6">
      <c r="A14" s="7">
        <v>7</v>
      </c>
      <c r="B14" s="7" t="s">
        <v>26</v>
      </c>
      <c r="C14" s="14">
        <f>50+50</f>
        <v>100</v>
      </c>
      <c r="D14" s="7">
        <v>7</v>
      </c>
      <c r="E14" s="7"/>
      <c r="F14" s="17"/>
    </row>
    <row r="15" spans="1:6">
      <c r="A15" s="7">
        <v>8</v>
      </c>
      <c r="B15" s="7" t="s">
        <v>37</v>
      </c>
      <c r="C15" s="14">
        <f>20+20</f>
        <v>40</v>
      </c>
      <c r="D15" s="7">
        <v>8</v>
      </c>
      <c r="E15" s="7"/>
      <c r="F15" s="17"/>
    </row>
    <row r="16" spans="1:6">
      <c r="A16" s="7">
        <v>9</v>
      </c>
      <c r="B16" s="7" t="s">
        <v>39</v>
      </c>
      <c r="C16" s="14"/>
      <c r="D16" s="7">
        <v>9</v>
      </c>
      <c r="E16" s="7"/>
      <c r="F16" s="17"/>
    </row>
    <row r="17" spans="1:6">
      <c r="A17" s="7">
        <v>10</v>
      </c>
      <c r="B17" s="7"/>
      <c r="C17" s="14"/>
      <c r="D17" s="7">
        <v>10</v>
      </c>
      <c r="E17" s="7"/>
      <c r="F17" s="17"/>
    </row>
    <row r="18" spans="1:6">
      <c r="A18" s="2"/>
      <c r="B18" s="2"/>
      <c r="C18" s="15"/>
      <c r="D18" s="2"/>
      <c r="E18" s="2"/>
      <c r="F18" s="18"/>
    </row>
    <row r="19" spans="1:6">
      <c r="A19" s="2"/>
      <c r="B19" s="2"/>
      <c r="C19" s="15"/>
      <c r="D19" s="2"/>
      <c r="E19" s="2"/>
      <c r="F19" s="18"/>
    </row>
    <row r="20" spans="1:6">
      <c r="A20" s="79" t="s">
        <v>9</v>
      </c>
      <c r="B20" s="80"/>
      <c r="C20" s="3">
        <f>SUM(C8:C19)</f>
        <v>62236</v>
      </c>
      <c r="D20" s="12"/>
      <c r="E20" s="13" t="s">
        <v>15</v>
      </c>
      <c r="F20" s="19">
        <f>SUM(F8:F19)</f>
        <v>5090</v>
      </c>
    </row>
    <row r="21" spans="1:6">
      <c r="A21" s="8"/>
      <c r="B21" s="9"/>
      <c r="C21" s="10"/>
      <c r="D21" s="11"/>
    </row>
    <row r="22" spans="1:6">
      <c r="A22" s="96" t="s">
        <v>11</v>
      </c>
      <c r="B22" s="96"/>
      <c r="C22" s="96"/>
      <c r="D22" s="96"/>
      <c r="E22" s="97">
        <f>C20-F20</f>
        <v>57146</v>
      </c>
      <c r="F22" s="98"/>
    </row>
    <row r="23" spans="1:6">
      <c r="A23" s="96" t="s">
        <v>10</v>
      </c>
      <c r="B23" s="96"/>
      <c r="C23" s="103"/>
      <c r="D23" s="104"/>
      <c r="E23" s="104"/>
      <c r="F23" s="105"/>
    </row>
    <row r="24" spans="1:6">
      <c r="A24" s="102" t="s">
        <v>12</v>
      </c>
      <c r="B24" s="102"/>
      <c r="C24" s="102"/>
      <c r="D24" s="102"/>
      <c r="E24" s="102"/>
      <c r="F24" s="102"/>
    </row>
    <row r="25" spans="1:6">
      <c r="A25" s="102"/>
      <c r="B25" s="102"/>
      <c r="C25" s="102"/>
      <c r="D25" s="102"/>
      <c r="E25" s="102"/>
      <c r="F25" s="102"/>
    </row>
    <row r="26" spans="1:6">
      <c r="A26" s="102"/>
      <c r="B26" s="102"/>
      <c r="C26" s="102"/>
      <c r="D26" s="102"/>
      <c r="E26" s="102"/>
      <c r="F26" s="102"/>
    </row>
    <row r="27" spans="1:6">
      <c r="A27" s="102"/>
      <c r="B27" s="102"/>
      <c r="C27" s="102"/>
      <c r="D27" s="102"/>
      <c r="E27" s="102"/>
      <c r="F27" s="102"/>
    </row>
    <row r="30" spans="1:6">
      <c r="B30" s="20" t="s">
        <v>19</v>
      </c>
      <c r="C30" s="20" t="s">
        <v>20</v>
      </c>
      <c r="D30" s="20"/>
      <c r="E30" s="20" t="s">
        <v>16</v>
      </c>
      <c r="F30" s="1">
        <f>35940-5090</f>
        <v>30850</v>
      </c>
    </row>
    <row r="31" spans="1:6">
      <c r="B31" s="32">
        <v>1000</v>
      </c>
      <c r="C31" s="32">
        <v>14</v>
      </c>
      <c r="D31" s="21"/>
      <c r="E31" s="32">
        <f>B31*C31</f>
        <v>14000</v>
      </c>
    </row>
    <row r="32" spans="1:6">
      <c r="B32" s="32">
        <v>500</v>
      </c>
      <c r="C32" s="32">
        <v>31</v>
      </c>
      <c r="D32" s="21"/>
      <c r="E32" s="32">
        <f>B32*C32</f>
        <v>15500</v>
      </c>
    </row>
    <row r="33" spans="2:5">
      <c r="B33" s="32">
        <v>100</v>
      </c>
      <c r="C33" s="32">
        <v>11</v>
      </c>
      <c r="D33" s="21"/>
      <c r="E33" s="32">
        <f t="shared" ref="E33:E38" si="0">B33*C33</f>
        <v>1100</v>
      </c>
    </row>
    <row r="34" spans="2:5">
      <c r="B34" s="32">
        <v>50</v>
      </c>
      <c r="C34" s="32">
        <v>3</v>
      </c>
      <c r="D34" s="21"/>
      <c r="E34" s="32">
        <f t="shared" si="0"/>
        <v>150</v>
      </c>
    </row>
    <row r="35" spans="2:5">
      <c r="B35" s="32">
        <v>20</v>
      </c>
      <c r="C35" s="32">
        <v>5</v>
      </c>
      <c r="D35" s="21"/>
      <c r="E35" s="32">
        <f t="shared" si="0"/>
        <v>100</v>
      </c>
    </row>
    <row r="36" spans="2:5">
      <c r="B36" s="32">
        <v>10</v>
      </c>
      <c r="C36" s="32"/>
      <c r="D36" s="21"/>
      <c r="E36" s="32">
        <f t="shared" si="0"/>
        <v>0</v>
      </c>
    </row>
    <row r="37" spans="2:5">
      <c r="B37" s="32">
        <v>5</v>
      </c>
      <c r="C37" s="32"/>
      <c r="D37" s="21"/>
      <c r="E37" s="32">
        <f t="shared" si="0"/>
        <v>0</v>
      </c>
    </row>
    <row r="38" spans="2:5">
      <c r="B38" s="32">
        <v>1</v>
      </c>
      <c r="C38" s="32"/>
      <c r="D38" s="21"/>
      <c r="E38" s="32">
        <f t="shared" si="0"/>
        <v>0</v>
      </c>
    </row>
    <row r="39" spans="2:5">
      <c r="B39" s="31" t="s">
        <v>17</v>
      </c>
      <c r="C39" s="32">
        <f>SUM(C31:C38)</f>
        <v>64</v>
      </c>
      <c r="D39" s="21"/>
      <c r="E39" s="20">
        <f>SUM(E31:E38)</f>
        <v>30850</v>
      </c>
    </row>
    <row r="40" spans="2:5">
      <c r="B40" s="21"/>
      <c r="C40" s="21"/>
      <c r="D40" s="21"/>
      <c r="E40" s="21"/>
    </row>
    <row r="42" spans="2:5">
      <c r="B42" s="1" t="s">
        <v>29</v>
      </c>
      <c r="E42" s="22"/>
    </row>
  </sheetData>
  <mergeCells count="11">
    <mergeCell ref="A20:B20"/>
    <mergeCell ref="A1:F1"/>
    <mergeCell ref="A2:F2"/>
    <mergeCell ref="A3:F3"/>
    <mergeCell ref="B4:F4"/>
    <mergeCell ref="A5:E6"/>
    <mergeCell ref="A22:D22"/>
    <mergeCell ref="E22:F22"/>
    <mergeCell ref="A23:B23"/>
    <mergeCell ref="C23:F23"/>
    <mergeCell ref="A24:F27"/>
  </mergeCells>
  <pageMargins left="1" right="1" top="0.5" bottom="0.5" header="0.5" footer="0.5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selection activeCell="K19" sqref="K19"/>
    </sheetView>
  </sheetViews>
  <sheetFormatPr defaultRowHeight="15"/>
  <cols>
    <col min="1" max="1" width="3.42578125" style="1" customWidth="1"/>
    <col min="2" max="2" width="23.7109375" style="1" customWidth="1"/>
    <col min="3" max="3" width="10.85546875" style="1" customWidth="1"/>
    <col min="4" max="4" width="2.85546875" style="1" customWidth="1"/>
    <col min="5" max="5" width="27.28515625" style="1" customWidth="1"/>
    <col min="6" max="6" width="14.5703125" style="1" customWidth="1"/>
    <col min="7" max="16384" width="9.140625" style="1"/>
  </cols>
  <sheetData>
    <row r="1" spans="1:6" ht="15.75">
      <c r="A1" s="106" t="s">
        <v>0</v>
      </c>
      <c r="B1" s="107"/>
      <c r="C1" s="107"/>
      <c r="D1" s="107"/>
      <c r="E1" s="107"/>
      <c r="F1" s="108"/>
    </row>
    <row r="2" spans="1:6">
      <c r="A2" s="109" t="s">
        <v>1</v>
      </c>
      <c r="B2" s="110"/>
      <c r="C2" s="110"/>
      <c r="D2" s="110"/>
      <c r="E2" s="110"/>
      <c r="F2" s="111"/>
    </row>
    <row r="3" spans="1:6">
      <c r="A3" s="112" t="s">
        <v>2</v>
      </c>
      <c r="B3" s="113"/>
      <c r="C3" s="113"/>
      <c r="D3" s="113"/>
      <c r="E3" s="113"/>
      <c r="F3" s="114"/>
    </row>
    <row r="4" spans="1:6">
      <c r="A4" s="28"/>
      <c r="B4" s="115" t="s">
        <v>28</v>
      </c>
      <c r="C4" s="115"/>
      <c r="D4" s="115"/>
      <c r="E4" s="115"/>
      <c r="F4" s="116"/>
    </row>
    <row r="5" spans="1:6">
      <c r="A5" s="117" t="s">
        <v>3</v>
      </c>
      <c r="B5" s="118"/>
      <c r="C5" s="118"/>
      <c r="D5" s="118"/>
      <c r="E5" s="118"/>
      <c r="F5" s="4" t="s">
        <v>14</v>
      </c>
    </row>
    <row r="6" spans="1:6">
      <c r="A6" s="119"/>
      <c r="B6" s="120"/>
      <c r="C6" s="120"/>
      <c r="D6" s="120"/>
      <c r="E6" s="120"/>
      <c r="F6" s="5" t="s">
        <v>43</v>
      </c>
    </row>
    <row r="7" spans="1:6">
      <c r="A7" s="6" t="s">
        <v>4</v>
      </c>
      <c r="B7" s="6" t="s">
        <v>5</v>
      </c>
      <c r="C7" s="6" t="s">
        <v>6</v>
      </c>
      <c r="D7" s="6" t="s">
        <v>4</v>
      </c>
      <c r="E7" s="6" t="s">
        <v>7</v>
      </c>
      <c r="F7" s="6" t="s">
        <v>6</v>
      </c>
    </row>
    <row r="8" spans="1:6">
      <c r="A8" s="7">
        <v>1</v>
      </c>
      <c r="B8" s="7" t="s">
        <v>8</v>
      </c>
      <c r="C8" s="6">
        <v>48661</v>
      </c>
      <c r="D8" s="7">
        <v>1</v>
      </c>
      <c r="E8" s="7" t="s">
        <v>23</v>
      </c>
      <c r="F8" s="16">
        <v>600</v>
      </c>
    </row>
    <row r="9" spans="1:6">
      <c r="A9" s="7">
        <v>2</v>
      </c>
      <c r="B9" s="7" t="s">
        <v>13</v>
      </c>
      <c r="C9" s="14">
        <f>600+600+600+600+500+600+500+300+500+600+600+600+600+600+300+400+400+300+300+300+300+300+500+250+600+600+600+300+500+500+500+300+600+600+500+600</f>
        <v>17350</v>
      </c>
      <c r="D9" s="7">
        <v>2</v>
      </c>
      <c r="E9" s="7" t="s">
        <v>40</v>
      </c>
      <c r="F9" s="17">
        <v>190</v>
      </c>
    </row>
    <row r="10" spans="1:6">
      <c r="A10" s="7">
        <v>3</v>
      </c>
      <c r="B10" s="7" t="s">
        <v>24</v>
      </c>
      <c r="C10" s="14"/>
      <c r="D10" s="7">
        <v>3</v>
      </c>
      <c r="E10" s="7" t="s">
        <v>41</v>
      </c>
      <c r="F10" s="17">
        <v>100</v>
      </c>
    </row>
    <row r="11" spans="1:6">
      <c r="A11" s="7">
        <v>4</v>
      </c>
      <c r="B11" s="7" t="s">
        <v>21</v>
      </c>
      <c r="C11" s="14"/>
      <c r="D11" s="7">
        <v>4</v>
      </c>
      <c r="E11" s="7" t="s">
        <v>38</v>
      </c>
      <c r="F11" s="17">
        <v>39500</v>
      </c>
    </row>
    <row r="12" spans="1:6">
      <c r="A12" s="7">
        <v>5</v>
      </c>
      <c r="B12" s="7" t="s">
        <v>31</v>
      </c>
      <c r="C12" s="14">
        <f>360</f>
        <v>360</v>
      </c>
      <c r="D12" s="7">
        <v>5</v>
      </c>
      <c r="E12" s="7"/>
      <c r="F12" s="17"/>
    </row>
    <row r="13" spans="1:6">
      <c r="A13" s="7">
        <v>6</v>
      </c>
      <c r="B13" s="7" t="s">
        <v>22</v>
      </c>
      <c r="C13" s="14">
        <f>30+60+60+60</f>
        <v>210</v>
      </c>
      <c r="D13" s="7">
        <v>6</v>
      </c>
      <c r="E13" s="7"/>
      <c r="F13" s="17"/>
    </row>
    <row r="14" spans="1:6">
      <c r="A14" s="7">
        <v>7</v>
      </c>
      <c r="B14" s="7" t="s">
        <v>26</v>
      </c>
      <c r="C14" s="14"/>
      <c r="D14" s="7">
        <v>7</v>
      </c>
      <c r="E14" s="7"/>
      <c r="F14" s="17"/>
    </row>
    <row r="15" spans="1:6">
      <c r="A15" s="7">
        <v>8</v>
      </c>
      <c r="B15" s="7" t="s">
        <v>37</v>
      </c>
      <c r="C15" s="14">
        <v>20</v>
      </c>
      <c r="D15" s="7">
        <v>8</v>
      </c>
      <c r="E15" s="7"/>
      <c r="F15" s="17"/>
    </row>
    <row r="16" spans="1:6">
      <c r="A16" s="7">
        <v>9</v>
      </c>
      <c r="B16" s="7" t="s">
        <v>39</v>
      </c>
      <c r="C16" s="14">
        <v>85</v>
      </c>
      <c r="D16" s="7">
        <v>9</v>
      </c>
      <c r="E16" s="7"/>
      <c r="F16" s="17"/>
    </row>
    <row r="17" spans="1:6">
      <c r="A17" s="7">
        <v>10</v>
      </c>
      <c r="B17" s="7"/>
      <c r="C17" s="14"/>
      <c r="D17" s="7">
        <v>10</v>
      </c>
      <c r="E17" s="7"/>
      <c r="F17" s="17"/>
    </row>
    <row r="18" spans="1:6">
      <c r="A18" s="2"/>
      <c r="B18" s="2"/>
      <c r="C18" s="15"/>
      <c r="D18" s="2"/>
      <c r="E18" s="2"/>
      <c r="F18" s="18"/>
    </row>
    <row r="19" spans="1:6">
      <c r="A19" s="2"/>
      <c r="B19" s="2"/>
      <c r="C19" s="15"/>
      <c r="D19" s="2"/>
      <c r="E19" s="2"/>
      <c r="F19" s="18"/>
    </row>
    <row r="20" spans="1:6">
      <c r="A20" s="79" t="s">
        <v>9</v>
      </c>
      <c r="B20" s="80"/>
      <c r="C20" s="3">
        <f>SUM(C8:C19)</f>
        <v>66686</v>
      </c>
      <c r="D20" s="12"/>
      <c r="E20" s="13" t="s">
        <v>15</v>
      </c>
      <c r="F20" s="19">
        <f>SUM(F8:F19)</f>
        <v>40390</v>
      </c>
    </row>
    <row r="21" spans="1:6">
      <c r="A21" s="8"/>
      <c r="B21" s="9"/>
      <c r="C21" s="10"/>
      <c r="D21" s="11"/>
    </row>
    <row r="22" spans="1:6">
      <c r="A22" s="96" t="s">
        <v>11</v>
      </c>
      <c r="B22" s="96"/>
      <c r="C22" s="96"/>
      <c r="D22" s="96"/>
      <c r="E22" s="97">
        <f>C20-F20</f>
        <v>26296</v>
      </c>
      <c r="F22" s="98"/>
    </row>
    <row r="23" spans="1:6">
      <c r="A23" s="96" t="s">
        <v>10</v>
      </c>
      <c r="B23" s="96"/>
      <c r="C23" s="103"/>
      <c r="D23" s="104"/>
      <c r="E23" s="104"/>
      <c r="F23" s="105"/>
    </row>
    <row r="24" spans="1:6">
      <c r="A24" s="102" t="s">
        <v>12</v>
      </c>
      <c r="B24" s="102"/>
      <c r="C24" s="102"/>
      <c r="D24" s="102"/>
      <c r="E24" s="102"/>
      <c r="F24" s="102"/>
    </row>
    <row r="25" spans="1:6">
      <c r="A25" s="102"/>
      <c r="B25" s="102"/>
      <c r="C25" s="102"/>
      <c r="D25" s="102"/>
      <c r="E25" s="102"/>
      <c r="F25" s="102"/>
    </row>
    <row r="26" spans="1:6">
      <c r="A26" s="102"/>
      <c r="B26" s="102"/>
      <c r="C26" s="102"/>
      <c r="D26" s="102"/>
      <c r="E26" s="102"/>
      <c r="F26" s="102"/>
    </row>
    <row r="27" spans="1:6">
      <c r="A27" s="102"/>
      <c r="B27" s="102"/>
      <c r="C27" s="102"/>
      <c r="D27" s="102"/>
      <c r="E27" s="102"/>
      <c r="F27" s="102"/>
    </row>
    <row r="30" spans="1:6">
      <c r="B30" s="20" t="s">
        <v>19</v>
      </c>
      <c r="C30" s="20" t="s">
        <v>20</v>
      </c>
      <c r="D30" s="20"/>
      <c r="E30" s="20" t="s">
        <v>16</v>
      </c>
      <c r="F30" s="1">
        <f>18025-890</f>
        <v>17135</v>
      </c>
    </row>
    <row r="31" spans="1:6">
      <c r="B31" s="30">
        <v>1000</v>
      </c>
      <c r="C31" s="30">
        <v>8</v>
      </c>
      <c r="D31" s="21"/>
      <c r="E31" s="30">
        <f>B31*C31</f>
        <v>8000</v>
      </c>
    </row>
    <row r="32" spans="1:6">
      <c r="B32" s="30">
        <v>500</v>
      </c>
      <c r="C32" s="30">
        <v>16</v>
      </c>
      <c r="D32" s="21"/>
      <c r="E32" s="30">
        <f>B32*C32</f>
        <v>8000</v>
      </c>
    </row>
    <row r="33" spans="2:5">
      <c r="B33" s="30">
        <v>100</v>
      </c>
      <c r="C33" s="30">
        <v>9</v>
      </c>
      <c r="D33" s="21"/>
      <c r="E33" s="30">
        <f t="shared" ref="E33:E38" si="0">B33*C33</f>
        <v>900</v>
      </c>
    </row>
    <row r="34" spans="2:5">
      <c r="B34" s="30">
        <v>50</v>
      </c>
      <c r="C34" s="30">
        <v>2</v>
      </c>
      <c r="D34" s="21"/>
      <c r="E34" s="30">
        <f t="shared" si="0"/>
        <v>100</v>
      </c>
    </row>
    <row r="35" spans="2:5">
      <c r="B35" s="30">
        <v>20</v>
      </c>
      <c r="C35" s="30">
        <v>5</v>
      </c>
      <c r="D35" s="21"/>
      <c r="E35" s="30">
        <f t="shared" si="0"/>
        <v>100</v>
      </c>
    </row>
    <row r="36" spans="2:5">
      <c r="B36" s="30">
        <v>10</v>
      </c>
      <c r="C36" s="30">
        <v>3</v>
      </c>
      <c r="D36" s="21"/>
      <c r="E36" s="30">
        <f t="shared" si="0"/>
        <v>30</v>
      </c>
    </row>
    <row r="37" spans="2:5">
      <c r="B37" s="30">
        <v>5</v>
      </c>
      <c r="C37" s="30">
        <v>1</v>
      </c>
      <c r="D37" s="21"/>
      <c r="E37" s="30">
        <f t="shared" si="0"/>
        <v>5</v>
      </c>
    </row>
    <row r="38" spans="2:5">
      <c r="B38" s="30">
        <v>1</v>
      </c>
      <c r="C38" s="30"/>
      <c r="D38" s="21"/>
      <c r="E38" s="30">
        <f t="shared" si="0"/>
        <v>0</v>
      </c>
    </row>
    <row r="39" spans="2:5">
      <c r="B39" s="29" t="s">
        <v>17</v>
      </c>
      <c r="C39" s="30">
        <f>SUM(C31:C38)</f>
        <v>44</v>
      </c>
      <c r="D39" s="21"/>
      <c r="E39" s="20">
        <f>SUM(E31:E38)</f>
        <v>17135</v>
      </c>
    </row>
    <row r="40" spans="2:5">
      <c r="B40" s="21"/>
      <c r="C40" s="21"/>
      <c r="D40" s="21"/>
      <c r="E40" s="21"/>
    </row>
    <row r="42" spans="2:5">
      <c r="B42" s="1" t="s">
        <v>29</v>
      </c>
      <c r="E42" s="22"/>
    </row>
  </sheetData>
  <mergeCells count="11">
    <mergeCell ref="A22:D22"/>
    <mergeCell ref="E22:F22"/>
    <mergeCell ref="A23:B23"/>
    <mergeCell ref="C23:F23"/>
    <mergeCell ref="A24:F27"/>
    <mergeCell ref="A20:B20"/>
    <mergeCell ref="A1:F1"/>
    <mergeCell ref="A2:F2"/>
    <mergeCell ref="A3:F3"/>
    <mergeCell ref="B4:F4"/>
    <mergeCell ref="A5:E6"/>
  </mergeCells>
  <pageMargins left="1" right="1" top="0.5" bottom="0.5" header="0.5" footer="0.5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42"/>
  <sheetViews>
    <sheetView topLeftCell="A4" workbookViewId="0">
      <selection activeCell="C37" sqref="C37"/>
    </sheetView>
  </sheetViews>
  <sheetFormatPr defaultRowHeight="15"/>
  <cols>
    <col min="1" max="1" width="3.42578125" style="1" customWidth="1"/>
    <col min="2" max="2" width="23.7109375" style="1" customWidth="1"/>
    <col min="3" max="3" width="10.85546875" style="1" customWidth="1"/>
    <col min="4" max="4" width="2.85546875" style="1" customWidth="1"/>
    <col min="5" max="5" width="27.28515625" style="1" customWidth="1"/>
    <col min="6" max="6" width="14.5703125" style="1" customWidth="1"/>
    <col min="7" max="16384" width="9.140625" style="1"/>
  </cols>
  <sheetData>
    <row r="1" spans="1:6" ht="15.75">
      <c r="A1" s="106" t="s">
        <v>0</v>
      </c>
      <c r="B1" s="107"/>
      <c r="C1" s="107"/>
      <c r="D1" s="107"/>
      <c r="E1" s="107"/>
      <c r="F1" s="108"/>
    </row>
    <row r="2" spans="1:6">
      <c r="A2" s="109" t="s">
        <v>1</v>
      </c>
      <c r="B2" s="110"/>
      <c r="C2" s="110"/>
      <c r="D2" s="110"/>
      <c r="E2" s="110"/>
      <c r="F2" s="111"/>
    </row>
    <row r="3" spans="1:6">
      <c r="A3" s="112" t="s">
        <v>2</v>
      </c>
      <c r="B3" s="113"/>
      <c r="C3" s="113"/>
      <c r="D3" s="113"/>
      <c r="E3" s="113"/>
      <c r="F3" s="114"/>
    </row>
    <row r="4" spans="1:6">
      <c r="A4" s="28"/>
      <c r="B4" s="115" t="s">
        <v>28</v>
      </c>
      <c r="C4" s="115"/>
      <c r="D4" s="115"/>
      <c r="E4" s="115"/>
      <c r="F4" s="116"/>
    </row>
    <row r="5" spans="1:6">
      <c r="A5" s="117" t="s">
        <v>3</v>
      </c>
      <c r="B5" s="118"/>
      <c r="C5" s="118"/>
      <c r="D5" s="118"/>
      <c r="E5" s="118"/>
      <c r="F5" s="4" t="s">
        <v>14</v>
      </c>
    </row>
    <row r="6" spans="1:6">
      <c r="A6" s="119"/>
      <c r="B6" s="120"/>
      <c r="C6" s="120"/>
      <c r="D6" s="120"/>
      <c r="E6" s="120"/>
      <c r="F6" s="5" t="s">
        <v>30</v>
      </c>
    </row>
    <row r="7" spans="1:6">
      <c r="A7" s="6" t="s">
        <v>4</v>
      </c>
      <c r="B7" s="6" t="s">
        <v>5</v>
      </c>
      <c r="C7" s="6" t="s">
        <v>6</v>
      </c>
      <c r="D7" s="6" t="s">
        <v>4</v>
      </c>
      <c r="E7" s="6" t="s">
        <v>7</v>
      </c>
      <c r="F7" s="6" t="s">
        <v>6</v>
      </c>
    </row>
    <row r="8" spans="1:6">
      <c r="A8" s="7">
        <v>1</v>
      </c>
      <c r="B8" s="7" t="s">
        <v>8</v>
      </c>
      <c r="C8" s="6">
        <v>43891</v>
      </c>
      <c r="D8" s="7">
        <v>1</v>
      </c>
      <c r="E8" s="7" t="s">
        <v>23</v>
      </c>
      <c r="F8" s="16">
        <v>600</v>
      </c>
    </row>
    <row r="9" spans="1:6">
      <c r="A9" s="7">
        <v>2</v>
      </c>
      <c r="B9" s="7" t="s">
        <v>13</v>
      </c>
      <c r="C9" s="14">
        <f>600+500+500+500+500+500+500+1200+500+300+300+1200+1200+600+600+600</f>
        <v>10100</v>
      </c>
      <c r="D9" s="7">
        <v>2</v>
      </c>
      <c r="E9" s="7" t="s">
        <v>32</v>
      </c>
      <c r="F9" s="17">
        <v>2200</v>
      </c>
    </row>
    <row r="10" spans="1:6">
      <c r="A10" s="7">
        <v>3</v>
      </c>
      <c r="B10" s="7" t="s">
        <v>24</v>
      </c>
      <c r="C10" s="14">
        <f>4640</f>
        <v>4640</v>
      </c>
      <c r="D10" s="7">
        <v>3</v>
      </c>
      <c r="E10" s="7" t="s">
        <v>33</v>
      </c>
      <c r="F10" s="17">
        <v>500</v>
      </c>
    </row>
    <row r="11" spans="1:6">
      <c r="A11" s="7">
        <v>4</v>
      </c>
      <c r="B11" s="7" t="s">
        <v>21</v>
      </c>
      <c r="C11" s="14"/>
      <c r="D11" s="7">
        <v>4</v>
      </c>
      <c r="E11" s="25" t="s">
        <v>34</v>
      </c>
      <c r="F11" s="17">
        <v>5000</v>
      </c>
    </row>
    <row r="12" spans="1:6">
      <c r="A12" s="7">
        <v>5</v>
      </c>
      <c r="B12" s="7" t="s">
        <v>31</v>
      </c>
      <c r="C12" s="14">
        <f>180</f>
        <v>180</v>
      </c>
      <c r="D12" s="7">
        <v>5</v>
      </c>
      <c r="E12" s="7" t="s">
        <v>35</v>
      </c>
      <c r="F12" s="17">
        <v>1920</v>
      </c>
    </row>
    <row r="13" spans="1:6">
      <c r="A13" s="7">
        <v>6</v>
      </c>
      <c r="B13" s="7" t="s">
        <v>22</v>
      </c>
      <c r="C13" s="14">
        <f>30+30+30+60</f>
        <v>150</v>
      </c>
      <c r="D13" s="7">
        <v>6</v>
      </c>
      <c r="E13" s="7" t="s">
        <v>36</v>
      </c>
      <c r="F13" s="17">
        <v>130</v>
      </c>
    </row>
    <row r="14" spans="1:6">
      <c r="A14" s="7">
        <v>7</v>
      </c>
      <c r="B14" s="7" t="s">
        <v>26</v>
      </c>
      <c r="C14" s="14">
        <v>50</v>
      </c>
      <c r="D14" s="7">
        <v>7</v>
      </c>
      <c r="E14" s="7"/>
      <c r="F14" s="17"/>
    </row>
    <row r="15" spans="1:6">
      <c r="A15" s="7">
        <v>8</v>
      </c>
      <c r="B15" s="7"/>
      <c r="C15" s="14"/>
      <c r="D15" s="7">
        <v>8</v>
      </c>
      <c r="E15" s="7"/>
      <c r="F15" s="17"/>
    </row>
    <row r="16" spans="1:6">
      <c r="A16" s="7">
        <v>9</v>
      </c>
      <c r="B16" s="7"/>
      <c r="C16" s="14"/>
      <c r="D16" s="7">
        <v>9</v>
      </c>
      <c r="E16" s="7"/>
      <c r="F16" s="17"/>
    </row>
    <row r="17" spans="1:6">
      <c r="A17" s="7">
        <v>10</v>
      </c>
      <c r="B17" s="7"/>
      <c r="C17" s="14"/>
      <c r="D17" s="7">
        <v>10</v>
      </c>
      <c r="E17" s="7"/>
      <c r="F17" s="17"/>
    </row>
    <row r="18" spans="1:6">
      <c r="A18" s="2"/>
      <c r="B18" s="2"/>
      <c r="C18" s="15"/>
      <c r="D18" s="2"/>
      <c r="E18" s="2"/>
      <c r="F18" s="18"/>
    </row>
    <row r="19" spans="1:6">
      <c r="A19" s="2"/>
      <c r="B19" s="2"/>
      <c r="C19" s="15"/>
      <c r="D19" s="2"/>
      <c r="E19" s="2"/>
      <c r="F19" s="18"/>
    </row>
    <row r="20" spans="1:6">
      <c r="A20" s="79" t="s">
        <v>9</v>
      </c>
      <c r="B20" s="80"/>
      <c r="C20" s="3">
        <f>SUM(C8:C19)</f>
        <v>59011</v>
      </c>
      <c r="D20" s="12"/>
      <c r="E20" s="13" t="s">
        <v>15</v>
      </c>
      <c r="F20" s="19">
        <f>SUM(F8:F19)</f>
        <v>10350</v>
      </c>
    </row>
    <row r="21" spans="1:6">
      <c r="A21" s="8"/>
      <c r="B21" s="9"/>
      <c r="C21" s="10"/>
      <c r="D21" s="11"/>
    </row>
    <row r="22" spans="1:6">
      <c r="A22" s="96" t="s">
        <v>11</v>
      </c>
      <c r="B22" s="96"/>
      <c r="C22" s="96"/>
      <c r="D22" s="96"/>
      <c r="E22" s="97">
        <f>C20-F20</f>
        <v>48661</v>
      </c>
      <c r="F22" s="98"/>
    </row>
    <row r="23" spans="1:6">
      <c r="A23" s="96" t="s">
        <v>10</v>
      </c>
      <c r="B23" s="96"/>
      <c r="C23" s="103"/>
      <c r="D23" s="104"/>
      <c r="E23" s="104"/>
      <c r="F23" s="105"/>
    </row>
    <row r="24" spans="1:6">
      <c r="A24" s="102" t="s">
        <v>12</v>
      </c>
      <c r="B24" s="102"/>
      <c r="C24" s="102"/>
      <c r="D24" s="102"/>
      <c r="E24" s="102"/>
      <c r="F24" s="102"/>
    </row>
    <row r="25" spans="1:6">
      <c r="A25" s="102"/>
      <c r="B25" s="102"/>
      <c r="C25" s="102"/>
      <c r="D25" s="102"/>
      <c r="E25" s="102"/>
      <c r="F25" s="102"/>
    </row>
    <row r="26" spans="1:6">
      <c r="A26" s="102"/>
      <c r="B26" s="102"/>
      <c r="C26" s="102"/>
      <c r="D26" s="102"/>
      <c r="E26" s="102"/>
      <c r="F26" s="102"/>
    </row>
    <row r="27" spans="1:6">
      <c r="A27" s="102"/>
      <c r="B27" s="102"/>
      <c r="C27" s="102"/>
      <c r="D27" s="102"/>
      <c r="E27" s="102"/>
      <c r="F27" s="102"/>
    </row>
    <row r="30" spans="1:6">
      <c r="B30" s="20" t="s">
        <v>19</v>
      </c>
      <c r="C30" s="20" t="s">
        <v>20</v>
      </c>
      <c r="D30" s="20"/>
      <c r="E30" s="20" t="s">
        <v>16</v>
      </c>
      <c r="F30" s="1">
        <f>15120-10350</f>
        <v>4770</v>
      </c>
    </row>
    <row r="31" spans="1:6">
      <c r="B31" s="26">
        <v>1000</v>
      </c>
      <c r="C31" s="26"/>
      <c r="D31" s="21"/>
      <c r="E31" s="26">
        <f>B31*C31</f>
        <v>0</v>
      </c>
    </row>
    <row r="32" spans="1:6">
      <c r="B32" s="26">
        <v>500</v>
      </c>
      <c r="C32" s="26">
        <v>8</v>
      </c>
      <c r="D32" s="21"/>
      <c r="E32" s="26">
        <f>B32*C32</f>
        <v>4000</v>
      </c>
    </row>
    <row r="33" spans="2:5">
      <c r="B33" s="26">
        <v>100</v>
      </c>
      <c r="C33" s="26">
        <v>2</v>
      </c>
      <c r="D33" s="21"/>
      <c r="E33" s="26">
        <f t="shared" ref="E33:E38" si="0">B33*C33</f>
        <v>200</v>
      </c>
    </row>
    <row r="34" spans="2:5">
      <c r="B34" s="26">
        <v>50</v>
      </c>
      <c r="C34" s="26">
        <v>1</v>
      </c>
      <c r="D34" s="21"/>
      <c r="E34" s="26">
        <f t="shared" si="0"/>
        <v>50</v>
      </c>
    </row>
    <row r="35" spans="2:5">
      <c r="B35" s="26">
        <v>20</v>
      </c>
      <c r="C35" s="26">
        <v>25</v>
      </c>
      <c r="D35" s="21"/>
      <c r="E35" s="26">
        <f t="shared" si="0"/>
        <v>500</v>
      </c>
    </row>
    <row r="36" spans="2:5">
      <c r="B36" s="26">
        <v>10</v>
      </c>
      <c r="C36" s="26">
        <v>1</v>
      </c>
      <c r="D36" s="21"/>
      <c r="E36" s="26">
        <f t="shared" si="0"/>
        <v>10</v>
      </c>
    </row>
    <row r="37" spans="2:5">
      <c r="B37" s="26">
        <v>5</v>
      </c>
      <c r="C37" s="26">
        <v>2</v>
      </c>
      <c r="D37" s="21"/>
      <c r="E37" s="26">
        <f t="shared" si="0"/>
        <v>10</v>
      </c>
    </row>
    <row r="38" spans="2:5">
      <c r="B38" s="26">
        <v>1</v>
      </c>
      <c r="C38" s="26"/>
      <c r="D38" s="21"/>
      <c r="E38" s="26">
        <f t="shared" si="0"/>
        <v>0</v>
      </c>
    </row>
    <row r="39" spans="2:5">
      <c r="B39" s="27" t="s">
        <v>17</v>
      </c>
      <c r="C39" s="26">
        <f>SUM(C31:C38)</f>
        <v>39</v>
      </c>
      <c r="D39" s="21"/>
      <c r="E39" s="20">
        <f>SUM(E31:E38)</f>
        <v>4770</v>
      </c>
    </row>
    <row r="40" spans="2:5">
      <c r="B40" s="21"/>
      <c r="C40" s="21"/>
      <c r="D40" s="21"/>
      <c r="E40" s="21"/>
    </row>
    <row r="42" spans="2:5">
      <c r="B42" s="1" t="s">
        <v>29</v>
      </c>
      <c r="E42" s="22"/>
    </row>
  </sheetData>
  <mergeCells count="11">
    <mergeCell ref="A22:D22"/>
    <mergeCell ref="E22:F22"/>
    <mergeCell ref="A23:B23"/>
    <mergeCell ref="C23:F23"/>
    <mergeCell ref="A24:F27"/>
    <mergeCell ref="A20:B20"/>
    <mergeCell ref="A1:F1"/>
    <mergeCell ref="A2:F2"/>
    <mergeCell ref="A3:F3"/>
    <mergeCell ref="B4:F4"/>
    <mergeCell ref="A5:E6"/>
  </mergeCells>
  <pageMargins left="1" right="1" top="0.5" bottom="0.5" header="0.5" footer="0.5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selection activeCell="E14" sqref="E14"/>
    </sheetView>
  </sheetViews>
  <sheetFormatPr defaultRowHeight="15"/>
  <cols>
    <col min="1" max="1" width="3.42578125" customWidth="1"/>
    <col min="2" max="2" width="23.7109375" customWidth="1"/>
    <col min="3" max="3" width="10.85546875" customWidth="1"/>
    <col min="4" max="4" width="2.85546875" customWidth="1"/>
    <col min="5" max="5" width="27.28515625" customWidth="1"/>
    <col min="6" max="6" width="14.5703125" customWidth="1"/>
  </cols>
  <sheetData>
    <row r="1" spans="1:6" ht="15.75">
      <c r="A1" s="106" t="s">
        <v>0</v>
      </c>
      <c r="B1" s="107"/>
      <c r="C1" s="107"/>
      <c r="D1" s="107"/>
      <c r="E1" s="107"/>
      <c r="F1" s="108"/>
    </row>
    <row r="2" spans="1:6">
      <c r="A2" s="109" t="s">
        <v>1</v>
      </c>
      <c r="B2" s="110"/>
      <c r="C2" s="110"/>
      <c r="D2" s="110"/>
      <c r="E2" s="110"/>
      <c r="F2" s="111"/>
    </row>
    <row r="3" spans="1:6">
      <c r="A3" s="112" t="s">
        <v>2</v>
      </c>
      <c r="B3" s="113"/>
      <c r="C3" s="113"/>
      <c r="D3" s="113"/>
      <c r="E3" s="113"/>
      <c r="F3" s="114"/>
    </row>
    <row r="4" spans="1:6" s="1" customFormat="1">
      <c r="A4" s="28"/>
      <c r="B4" s="115" t="s">
        <v>28</v>
      </c>
      <c r="C4" s="115"/>
      <c r="D4" s="115"/>
      <c r="E4" s="115"/>
      <c r="F4" s="116"/>
    </row>
    <row r="5" spans="1:6">
      <c r="A5" s="117" t="s">
        <v>3</v>
      </c>
      <c r="B5" s="118"/>
      <c r="C5" s="118"/>
      <c r="D5" s="118"/>
      <c r="E5" s="118"/>
      <c r="F5" s="4" t="s">
        <v>14</v>
      </c>
    </row>
    <row r="6" spans="1:6">
      <c r="A6" s="119"/>
      <c r="B6" s="120"/>
      <c r="C6" s="120"/>
      <c r="D6" s="120"/>
      <c r="E6" s="120"/>
      <c r="F6" s="5" t="s">
        <v>25</v>
      </c>
    </row>
    <row r="7" spans="1:6">
      <c r="A7" s="6" t="s">
        <v>4</v>
      </c>
      <c r="B7" s="6" t="s">
        <v>5</v>
      </c>
      <c r="C7" s="6" t="s">
        <v>6</v>
      </c>
      <c r="D7" s="6" t="s">
        <v>4</v>
      </c>
      <c r="E7" s="6" t="s">
        <v>7</v>
      </c>
      <c r="F7" s="6" t="s">
        <v>6</v>
      </c>
    </row>
    <row r="8" spans="1:6">
      <c r="A8" s="7">
        <v>1</v>
      </c>
      <c r="B8" s="7" t="s">
        <v>8</v>
      </c>
      <c r="C8" s="6">
        <v>41871</v>
      </c>
      <c r="D8" s="7">
        <v>1</v>
      </c>
      <c r="E8" s="7" t="s">
        <v>23</v>
      </c>
      <c r="F8" s="16">
        <v>750</v>
      </c>
    </row>
    <row r="9" spans="1:6">
      <c r="A9" s="7">
        <v>2</v>
      </c>
      <c r="B9" s="7" t="s">
        <v>13</v>
      </c>
      <c r="C9" s="14">
        <f>600+600+500+600</f>
        <v>2300</v>
      </c>
      <c r="D9" s="7">
        <v>2</v>
      </c>
      <c r="E9" s="7" t="s">
        <v>27</v>
      </c>
      <c r="F9" s="17">
        <v>200</v>
      </c>
    </row>
    <row r="10" spans="1:6">
      <c r="A10" s="7">
        <v>3</v>
      </c>
      <c r="B10" s="7" t="s">
        <v>18</v>
      </c>
      <c r="C10" s="14">
        <f>450</f>
        <v>450</v>
      </c>
      <c r="D10" s="7">
        <v>3</v>
      </c>
      <c r="E10" s="7"/>
      <c r="F10" s="17"/>
    </row>
    <row r="11" spans="1:6">
      <c r="A11" s="7">
        <v>4</v>
      </c>
      <c r="B11" s="7" t="s">
        <v>21</v>
      </c>
      <c r="C11" s="14"/>
      <c r="D11" s="7">
        <v>4</v>
      </c>
      <c r="E11" s="25"/>
      <c r="F11" s="17"/>
    </row>
    <row r="12" spans="1:6">
      <c r="A12" s="7">
        <v>5</v>
      </c>
      <c r="B12" s="7" t="s">
        <v>22</v>
      </c>
      <c r="C12" s="14">
        <f>60+20+60+30</f>
        <v>170</v>
      </c>
      <c r="D12" s="7">
        <v>5</v>
      </c>
      <c r="E12" s="7"/>
      <c r="F12" s="17"/>
    </row>
    <row r="13" spans="1:6">
      <c r="A13" s="7">
        <v>6</v>
      </c>
      <c r="B13" s="7" t="s">
        <v>24</v>
      </c>
      <c r="C13" s="14"/>
      <c r="D13" s="7">
        <v>6</v>
      </c>
      <c r="E13" s="7"/>
      <c r="F13" s="17"/>
    </row>
    <row r="14" spans="1:6">
      <c r="A14" s="7">
        <v>7</v>
      </c>
      <c r="B14" s="7" t="s">
        <v>26</v>
      </c>
      <c r="C14" s="14">
        <v>50</v>
      </c>
      <c r="D14" s="7">
        <v>7</v>
      </c>
      <c r="E14" s="7"/>
      <c r="F14" s="17"/>
    </row>
    <row r="15" spans="1:6">
      <c r="A15" s="7">
        <v>8</v>
      </c>
      <c r="B15" s="7"/>
      <c r="C15" s="14"/>
      <c r="D15" s="7">
        <v>8</v>
      </c>
      <c r="E15" s="7"/>
      <c r="F15" s="17"/>
    </row>
    <row r="16" spans="1:6">
      <c r="A16" s="7">
        <v>9</v>
      </c>
      <c r="B16" s="7"/>
      <c r="C16" s="14"/>
      <c r="D16" s="7">
        <v>9</v>
      </c>
      <c r="E16" s="7"/>
      <c r="F16" s="17"/>
    </row>
    <row r="17" spans="1:6">
      <c r="A17" s="7">
        <v>10</v>
      </c>
      <c r="B17" s="7"/>
      <c r="C17" s="14"/>
      <c r="D17" s="7">
        <v>10</v>
      </c>
      <c r="E17" s="7"/>
      <c r="F17" s="17"/>
    </row>
    <row r="18" spans="1:6">
      <c r="A18" s="2"/>
      <c r="B18" s="2"/>
      <c r="C18" s="15"/>
      <c r="D18" s="2"/>
      <c r="E18" s="2"/>
      <c r="F18" s="18"/>
    </row>
    <row r="19" spans="1:6">
      <c r="A19" s="2"/>
      <c r="B19" s="2"/>
      <c r="C19" s="15"/>
      <c r="D19" s="2"/>
      <c r="E19" s="2"/>
      <c r="F19" s="18"/>
    </row>
    <row r="20" spans="1:6">
      <c r="A20" s="79" t="s">
        <v>9</v>
      </c>
      <c r="B20" s="80"/>
      <c r="C20" s="3">
        <f>SUM(C8:C19)</f>
        <v>44841</v>
      </c>
      <c r="D20" s="12"/>
      <c r="E20" s="13" t="s">
        <v>15</v>
      </c>
      <c r="F20" s="19">
        <f>SUM(F8:F19)</f>
        <v>950</v>
      </c>
    </row>
    <row r="21" spans="1:6">
      <c r="A21" s="8"/>
      <c r="B21" s="9"/>
      <c r="C21" s="10"/>
      <c r="D21" s="11"/>
      <c r="E21" s="1"/>
      <c r="F21" s="1"/>
    </row>
    <row r="22" spans="1:6">
      <c r="A22" s="96" t="s">
        <v>11</v>
      </c>
      <c r="B22" s="96"/>
      <c r="C22" s="96"/>
      <c r="D22" s="96"/>
      <c r="E22" s="97">
        <f>C20-F20</f>
        <v>43891</v>
      </c>
      <c r="F22" s="98"/>
    </row>
    <row r="23" spans="1:6">
      <c r="A23" s="96" t="s">
        <v>10</v>
      </c>
      <c r="B23" s="96"/>
      <c r="C23" s="103"/>
      <c r="D23" s="104"/>
      <c r="E23" s="104"/>
      <c r="F23" s="105"/>
    </row>
    <row r="24" spans="1:6">
      <c r="A24" s="102" t="s">
        <v>12</v>
      </c>
      <c r="B24" s="102"/>
      <c r="C24" s="102"/>
      <c r="D24" s="102"/>
      <c r="E24" s="102"/>
      <c r="F24" s="102"/>
    </row>
    <row r="25" spans="1:6">
      <c r="A25" s="102"/>
      <c r="B25" s="102"/>
      <c r="C25" s="102"/>
      <c r="D25" s="102"/>
      <c r="E25" s="102"/>
      <c r="F25" s="102"/>
    </row>
    <row r="26" spans="1:6">
      <c r="A26" s="102"/>
      <c r="B26" s="102"/>
      <c r="C26" s="102"/>
      <c r="D26" s="102"/>
      <c r="E26" s="102"/>
      <c r="F26" s="102"/>
    </row>
    <row r="27" spans="1:6">
      <c r="A27" s="102"/>
      <c r="B27" s="102"/>
      <c r="C27" s="102"/>
      <c r="D27" s="102"/>
      <c r="E27" s="102"/>
      <c r="F27" s="102"/>
    </row>
    <row r="28" spans="1:6">
      <c r="A28" s="1"/>
      <c r="B28" s="1"/>
      <c r="C28" s="1"/>
      <c r="D28" s="1"/>
      <c r="E28" s="1"/>
      <c r="F28" s="1"/>
    </row>
    <row r="29" spans="1:6">
      <c r="A29" s="1"/>
      <c r="B29" s="1"/>
      <c r="C29" s="1"/>
      <c r="D29" s="1"/>
      <c r="E29" s="1"/>
      <c r="F29" s="1"/>
    </row>
    <row r="30" spans="1:6">
      <c r="A30" s="1"/>
      <c r="B30" s="20" t="s">
        <v>19</v>
      </c>
      <c r="C30" s="20" t="s">
        <v>20</v>
      </c>
      <c r="D30" s="20"/>
      <c r="E30" s="20" t="s">
        <v>16</v>
      </c>
      <c r="F30" s="1">
        <f>2970-950</f>
        <v>2020</v>
      </c>
    </row>
    <row r="31" spans="1:6">
      <c r="A31" s="1"/>
      <c r="B31" s="23">
        <v>1000</v>
      </c>
      <c r="C31" s="23"/>
      <c r="D31" s="21"/>
      <c r="E31" s="23">
        <f>B31*C31</f>
        <v>0</v>
      </c>
      <c r="F31" s="1"/>
    </row>
    <row r="32" spans="1:6">
      <c r="A32" s="1"/>
      <c r="B32" s="23">
        <v>500</v>
      </c>
      <c r="C32" s="23">
        <v>3</v>
      </c>
      <c r="D32" s="21"/>
      <c r="E32" s="23">
        <f>B32*C32</f>
        <v>1500</v>
      </c>
      <c r="F32" s="1"/>
    </row>
    <row r="33" spans="1:6">
      <c r="A33" s="1"/>
      <c r="B33" s="23">
        <v>100</v>
      </c>
      <c r="C33" s="23">
        <v>5</v>
      </c>
      <c r="D33" s="21"/>
      <c r="E33" s="23">
        <f t="shared" ref="E33:E38" si="0">B33*C33</f>
        <v>500</v>
      </c>
      <c r="F33" s="1"/>
    </row>
    <row r="34" spans="1:6">
      <c r="A34" s="1"/>
      <c r="B34" s="23">
        <v>50</v>
      </c>
      <c r="C34" s="23"/>
      <c r="D34" s="21"/>
      <c r="E34" s="23">
        <f t="shared" si="0"/>
        <v>0</v>
      </c>
      <c r="F34" s="1"/>
    </row>
    <row r="35" spans="1:6">
      <c r="A35" s="1"/>
      <c r="B35" s="23">
        <v>20</v>
      </c>
      <c r="C35" s="23"/>
      <c r="D35" s="21"/>
      <c r="E35" s="23">
        <f t="shared" si="0"/>
        <v>0</v>
      </c>
      <c r="F35" s="1"/>
    </row>
    <row r="36" spans="1:6">
      <c r="A36" s="1"/>
      <c r="B36" s="23">
        <v>10</v>
      </c>
      <c r="C36" s="23">
        <v>2</v>
      </c>
      <c r="D36" s="21"/>
      <c r="E36" s="23">
        <f t="shared" si="0"/>
        <v>20</v>
      </c>
      <c r="F36" s="1"/>
    </row>
    <row r="37" spans="1:6">
      <c r="A37" s="1"/>
      <c r="B37" s="23">
        <v>5</v>
      </c>
      <c r="C37" s="23"/>
      <c r="D37" s="21"/>
      <c r="E37" s="23">
        <f t="shared" si="0"/>
        <v>0</v>
      </c>
      <c r="F37" s="1"/>
    </row>
    <row r="38" spans="1:6">
      <c r="A38" s="1"/>
      <c r="B38" s="23">
        <v>1</v>
      </c>
      <c r="C38" s="23"/>
      <c r="D38" s="21"/>
      <c r="E38" s="23">
        <f t="shared" si="0"/>
        <v>0</v>
      </c>
      <c r="F38" s="1"/>
    </row>
    <row r="39" spans="1:6">
      <c r="A39" s="1"/>
      <c r="B39" s="24" t="s">
        <v>17</v>
      </c>
      <c r="C39" s="23">
        <f>SUM(C31:C38)</f>
        <v>10</v>
      </c>
      <c r="D39" s="21"/>
      <c r="E39" s="20">
        <f>SUM(E31:E38)</f>
        <v>2020</v>
      </c>
      <c r="F39" s="1"/>
    </row>
    <row r="40" spans="1:6">
      <c r="A40" s="1"/>
      <c r="B40" s="21"/>
      <c r="C40" s="21"/>
      <c r="D40" s="21"/>
      <c r="E40" s="21"/>
      <c r="F40" s="1"/>
    </row>
    <row r="41" spans="1:6">
      <c r="A41" s="1"/>
      <c r="B41" s="1"/>
      <c r="C41" s="1"/>
      <c r="D41" s="1"/>
      <c r="E41" s="1"/>
      <c r="F41" s="1"/>
    </row>
    <row r="42" spans="1:6">
      <c r="A42" s="1"/>
      <c r="B42" s="1" t="s">
        <v>29</v>
      </c>
      <c r="C42" s="1"/>
      <c r="D42" s="1"/>
      <c r="E42" s="22"/>
      <c r="F42" s="1"/>
    </row>
    <row r="43" spans="1:6">
      <c r="A43" s="1"/>
      <c r="B43" s="1"/>
      <c r="C43" s="1"/>
      <c r="D43" s="1"/>
      <c r="E43" s="1"/>
      <c r="F43" s="1"/>
    </row>
    <row r="44" spans="1:6">
      <c r="A44" s="1"/>
      <c r="B44" s="1"/>
      <c r="C44" s="1"/>
      <c r="D44" s="1"/>
      <c r="E44" s="1"/>
      <c r="F44" s="1"/>
    </row>
    <row r="45" spans="1:6">
      <c r="A45" s="1"/>
      <c r="B45" s="1"/>
      <c r="C45" s="1"/>
      <c r="D45" s="1"/>
      <c r="E45" s="1"/>
      <c r="F45" s="1"/>
    </row>
    <row r="46" spans="1:6">
      <c r="A46" s="1"/>
      <c r="B46" s="1"/>
      <c r="C46" s="1"/>
      <c r="D46" s="1"/>
      <c r="E46" s="1"/>
      <c r="F46" s="1"/>
    </row>
    <row r="47" spans="1:6">
      <c r="A47" s="1"/>
      <c r="B47" s="1"/>
      <c r="C47" s="1"/>
      <c r="D47" s="1"/>
      <c r="E47" s="1"/>
      <c r="F47" s="1"/>
    </row>
    <row r="48" spans="1:6">
      <c r="A48" s="1"/>
      <c r="B48" s="1"/>
      <c r="C48" s="1"/>
      <c r="D48" s="1"/>
      <c r="E48" s="1"/>
      <c r="F48" s="1"/>
    </row>
    <row r="49" spans="1:6">
      <c r="A49" s="1"/>
      <c r="B49" s="1"/>
      <c r="C49" s="1"/>
      <c r="D49" s="1"/>
      <c r="E49" s="1"/>
      <c r="F49" s="1"/>
    </row>
    <row r="50" spans="1:6">
      <c r="A50" s="1"/>
      <c r="B50" s="1"/>
      <c r="C50" s="1"/>
      <c r="D50" s="1"/>
      <c r="E50" s="1"/>
      <c r="F50" s="1"/>
    </row>
  </sheetData>
  <mergeCells count="11">
    <mergeCell ref="A24:F27"/>
    <mergeCell ref="A1:F1"/>
    <mergeCell ref="A2:F2"/>
    <mergeCell ref="A3:F3"/>
    <mergeCell ref="A5:E6"/>
    <mergeCell ref="A20:B20"/>
    <mergeCell ref="A22:D22"/>
    <mergeCell ref="E22:F22"/>
    <mergeCell ref="A23:B23"/>
    <mergeCell ref="C23:F23"/>
    <mergeCell ref="B4:F4"/>
  </mergeCells>
  <pageMargins left="1" right="1" top="0.5" bottom="0.5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</vt:i4>
      </vt:variant>
    </vt:vector>
  </HeadingPairs>
  <TitlesOfParts>
    <vt:vector size="22" baseType="lpstr">
      <vt:lpstr>30-04-19</vt:lpstr>
      <vt:lpstr>29-04-19</vt:lpstr>
      <vt:lpstr>28-04-19</vt:lpstr>
      <vt:lpstr>27-04-19</vt:lpstr>
      <vt:lpstr>25-04-19   </vt:lpstr>
      <vt:lpstr>24-04-19  </vt:lpstr>
      <vt:lpstr>23-04-19 </vt:lpstr>
      <vt:lpstr>18-04-19</vt:lpstr>
      <vt:lpstr>17-04-19</vt:lpstr>
      <vt:lpstr>16-04-19</vt:lpstr>
      <vt:lpstr>15-04-19</vt:lpstr>
      <vt:lpstr>13-04-19</vt:lpstr>
      <vt:lpstr>11-04-19</vt:lpstr>
      <vt:lpstr>10-04-19</vt:lpstr>
      <vt:lpstr>09-04-19</vt:lpstr>
      <vt:lpstr>08-04-19</vt:lpstr>
      <vt:lpstr>07-04-19</vt:lpstr>
      <vt:lpstr>06-04-19</vt:lpstr>
      <vt:lpstr>03-04-19</vt:lpstr>
      <vt:lpstr>02-04-19</vt:lpstr>
      <vt:lpstr>01-04-19</vt:lpstr>
      <vt:lpstr>'30-04-19'!Print_Area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2022-07-20T06:52:36Z</cp:lastPrinted>
  <dcterms:created xsi:type="dcterms:W3CDTF">2019-03-06T03:25:15Z</dcterms:created>
  <dcterms:modified xsi:type="dcterms:W3CDTF">2022-07-20T07:08:13Z</dcterms:modified>
</cp:coreProperties>
</file>